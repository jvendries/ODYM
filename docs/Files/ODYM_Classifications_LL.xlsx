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0" documentId="13_ncr:1_{3E522AE9-AE47-417F-8A56-070DF0006C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F12" i="1"/>
  <c r="F11" i="1"/>
  <c r="E12" i="1"/>
  <c r="E11" i="1"/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1" i="1" l="1"/>
  <c r="H2" i="1"/>
  <c r="H3" i="1"/>
  <c r="H4" i="1"/>
  <c r="H5" i="1"/>
  <c r="H6" i="1"/>
  <c r="H7" i="1"/>
  <c r="H8" i="1"/>
  <c r="H9" i="1"/>
  <c r="H1" i="1"/>
  <c r="E8" i="1" l="1"/>
  <c r="D8" i="1"/>
  <c r="C8" i="1"/>
  <c r="E2" i="1" l="1"/>
  <c r="E3" i="1"/>
  <c r="E4" i="1"/>
  <c r="E5" i="1"/>
  <c r="E6" i="1"/>
  <c r="E9" i="1"/>
  <c r="E1" i="1"/>
  <c r="G2" i="1" l="1"/>
  <c r="G3" i="1"/>
  <c r="G4" i="1"/>
  <c r="G5" i="1"/>
  <c r="G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<sst xmlns="http://schemas.openxmlformats.org/spreadsheetml/2006/main" count="391" uniqueCount="283">
  <si>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</si>
  <si>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</si>
  <si>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</si>
  <si>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</si>
  <si>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</si>
  <si>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</si>
  <si>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</si>
  <si>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</si>
  <si>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</si>
  <si>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</si>
  <si>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</si>
  <si>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</si>
  <si>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</si>
  <si>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</si>
  <si>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</si>
  <si>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</si>
  <si>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</si>
  <si>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</si>
  <si>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</si>
  <si>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</si>
  <si>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</si>
  <si>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</si>
  <si>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</si>
  <si>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</si>
  <si>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</si>
  <si>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</si>
  <si>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</si>
  <si>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</si>
  <si>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</si>
  <si>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</si>
  <si>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</si>
  <si>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</si>
  <si>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</si>
  <si>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</si>
  <si>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</si>
  <si>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</si>
  <si>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</si>
  <si>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</si>
  <si>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</si>
  <si>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</si>
  <si>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</si>
  <si>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</si>
  <si>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</si>
  <si>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</si>
  <si>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</si>
  <si>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</si>
  <si>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</si>
  <si>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</si>
  <si>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</si>
  <si>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</si>
  <si>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</si>
  <si>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</si>
  <si>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</si>
  <si>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</si>
  <si>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</si>
  <si>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</si>
  <si>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</si>
  <si>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</si>
  <si>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</si>
  <si>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</si>
  <si>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</si>
  <si>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</si>
  <si>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</si>
  <si>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</si>
  <si>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</si>
  <si>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</si>
  <si>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</si>
  <si>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</si>
  <si>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</si>
  <si>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</si>
  <si>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</si>
  <si>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</si>
  <si>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</si>
  <si>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</si>
  <si>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</si>
  <si>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</si>
  <si>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</si>
  <si>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</si>
  <si>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</si>
  <si>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</si>
  <si>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</si>
  <si>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</si>
  <si>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</si>
  <si>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</si>
  <si>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</si>
  <si>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</si>
  <si>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</si>
  <si>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</si>
  <si>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</si>
  <si>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</si>
  <si>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</si>
  <si>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</si>
  <si>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</si>
  <si>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</si>
  <si>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</si>
  <si>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</si>
  <si>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</si>
  <si>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</si>
  <si>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</si>
  <si>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</si>
  <si>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</si>
  <si>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</si>
  <si>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</si>
  <si>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</si>
  <si>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</si>
  <si>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</si>
  <si>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</si>
  <si>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</si>
  <si>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</si>
  <si>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</si>
  <si>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</si>
  <si>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</si>
  <si>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</si>
  <si>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</si>
  <si>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</si>
  <si>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</si>
  <si>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</si>
  <si>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</si>
  <si>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</si>
  <si>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</si>
  <si>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</si>
  <si>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</si>
  <si>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</si>
  <si>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</si>
  <si>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</si>
  <si>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</si>
  <si>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</si>
  <si>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</si>
  <si>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</si>
  <si>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</si>
  <si>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</si>
  <si>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</si>
  <si>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</si>
  <si>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</si>
  <si>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</si>
  <si>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</si>
  <si>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</si>
  <si>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</si>
  <si>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</si>
  <si>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</si>
  <si>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</si>
  <si>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</si>
  <si>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</si>
  <si>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</si>
  <si>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</si>
  <si>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</si>
  <si>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</si>
  <si>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</si>
  <si>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</si>
  <si>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</si>
  <si>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</si>
  <si>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</si>
  <si>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</si>
  <si>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</si>
  <si>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</si>
  <si>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</si>
  <si>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</si>
  <si>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</si>
  <si>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</si>
  <si>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</si>
  <si>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</si>
  <si>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</si>
  <si>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</si>
  <si>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</si>
  <si>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</si>
  <si>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</si>
  <si>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</si>
  <si>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</si>
  <si>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</si>
  <si>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</si>
  <si>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</si>
  <si>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</si>
  <si>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</si>
  <si>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</si>
  <si>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</si>
  <si>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</si>
  <si>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</si>
  <si>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</si>
  <si>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</si>
  <si>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</si>
  <si>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</si>
  <si>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</si>
  <si>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</si>
  <si>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</si>
  <si>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</si>
  <si>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</si>
  <si>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</si>
  <si>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</si>
  <si>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</si>
  <si>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</si>
  <si>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</si>
  <si>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</si>
  <si>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</si>
  <si>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</si>
  <si>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</si>
  <si>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</si>
  <si>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</si>
  <si>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</si>
  <si>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</si>
  <si>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</si>
  <si>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</si>
  <si>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</si>
  <si>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</si>
  <si>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</si>
  <si>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</si>
  <si>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</si>
  <si>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</si>
  <si>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</si>
  <si>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</si>
  <si>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</si>
  <si>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</si>
  <si>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</si>
  <si>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</si>
  <si>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</si>
  <si>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</si>
  <si>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</si>
  <si>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</si>
  <si>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</si>
  <si>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</si>
  <si>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</si>
  <si>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</si>
  <si>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</si>
  <si>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</si>
  <si>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</si>
  <si>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</si>
  <si>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</si>
  <si>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</si>
  <si>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</si>
  <si>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</si>
  <si>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</si>
  <si>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</si>
  <si>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</si>
  <si>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</si>
  <si>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</si>
  <si>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</si>
  <si>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</si>
  <si>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</si>
  <si>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</si>
  <si>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</si>
  <si>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</si>
  <si>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</si>
  <si>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</si>
  <si>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</si>
  <si>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</si>
  <si>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</si>
  <si>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</si>
  <si>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</si>
  <si>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</si>
  <si>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</si>
  <si>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</si>
  <si>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</si>
  <si>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</si>
  <si>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</si>
  <si>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</si>
  <si>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</si>
  <si>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</si>
  <si>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</si>
  <si>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</si>
  <si>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</si>
  <si>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</si>
  <si>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</si>
  <si>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</si>
  <si>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</si>
  <si>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</si>
  <si>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</si>
  <si>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</si>
  <si>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</si>
  <si>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</si>
  <si>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</si>
  <si>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</si>
  <si>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</si>
  <si>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</si>
  <si>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</si>
  <si>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</si>
  <si>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ODYM_Classifications_LL</t>
  </si>
  <si>
    <t>USA</t>
  </si>
  <si>
    <t>LIB</t>
  </si>
  <si>
    <t>LIB materials</t>
  </si>
  <si>
    <t>EV LIB</t>
  </si>
  <si>
    <t>other EV LIB products</t>
  </si>
  <si>
    <t>LIB scrap</t>
  </si>
  <si>
    <t>Other scrap</t>
  </si>
  <si>
    <t>Liz Lanphear,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</si>
</sst>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anphear\Code\ODYM\docs\Files\Tutorial6_JV_2\ODYM_Classifications_EVLIB.xlsx" TargetMode="External"/><Relationship Id="rId1" Type="http://schemas.openxmlformats.org/officeDocument/2006/relationships/externalLinkPath" Target="Tutorial6_JV_2/ODYM_Classifications_EVLI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_Dimensions_Aspects"/>
      <sheetName val="MAIN_Table"/>
      <sheetName val="Time_Discrete_Years"/>
      <sheetName val="Chemical_Elements"/>
      <sheetName val="10_Regions"/>
      <sheetName val="Engineering_Materials"/>
      <sheetName val="End_Use_Sectors"/>
      <sheetName val="Waste_Scrap"/>
      <sheetName val="Scenario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LIB</v>
          </cell>
        </row>
        <row r="3">
          <cell r="D3" t="str">
            <v>LIB materials</v>
          </cell>
        </row>
      </sheetData>
      <sheetData sheetId="6">
        <row r="2">
          <cell r="D2" t="str">
            <v>EV LIB</v>
          </cell>
        </row>
        <row r="3">
          <cell r="D3" t="str">
            <v>other EV LIB products</v>
          </cell>
        </row>
      </sheetData>
      <sheetData sheetId="7">
        <row r="2">
          <cell r="D2" t="str">
            <v>LIB scrap</v>
          </cell>
        </row>
        <row r="3">
          <cell r="D3" t="str">
            <v>Other scrap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tabSelected="1" zoomScale="86" workbookViewId="0">
      <selection activeCell="C20" sqref="C20"/>
    </sheetView>
  </sheetViews>
  <sheetFormatPr defaultColWidth="10.9062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247</v>
      </c>
    </row>
    <row r="5" spans="2:4" x14ac:dyDescent="0.35">
      <c r="C5" t="s">
        <v>282</v>
      </c>
    </row>
    <row r="6" spans="2:4" x14ac:dyDescent="0.35">
      <c r="B6" s="6" t="s">
        <v>0</v>
      </c>
      <c r="C6" t="s">
        <v>274</v>
      </c>
    </row>
    <row r="7" spans="2:4" x14ac:dyDescent="0.35">
      <c r="B7" s="6" t="s">
        <v>3</v>
      </c>
      <c r="C7" t="s">
        <v>250</v>
      </c>
    </row>
    <row r="10" spans="2:4" x14ac:dyDescent="0.35">
      <c r="B10" s="6" t="s">
        <v>242</v>
      </c>
    </row>
    <row r="12" spans="2:4" x14ac:dyDescent="0.35">
      <c r="B12" s="6" t="s">
        <v>4</v>
      </c>
      <c r="C12" s="6" t="s">
        <v>225</v>
      </c>
      <c r="D12" s="6" t="s">
        <v>226</v>
      </c>
    </row>
    <row r="13" spans="2:4" x14ac:dyDescent="0.35">
      <c r="B13" t="s">
        <v>227</v>
      </c>
      <c r="C13" t="s">
        <v>230</v>
      </c>
      <c r="D13" t="s">
        <v>233</v>
      </c>
    </row>
    <row r="14" spans="2:4" x14ac:dyDescent="0.35">
      <c r="B14" t="s">
        <v>13</v>
      </c>
      <c r="C14" t="s">
        <v>231</v>
      </c>
      <c r="D14" t="s">
        <v>234</v>
      </c>
    </row>
    <row r="15" spans="2:4" x14ac:dyDescent="0.35">
      <c r="B15" t="s">
        <v>237</v>
      </c>
      <c r="C15" t="s">
        <v>241</v>
      </c>
      <c r="D15" t="s">
        <v>245</v>
      </c>
    </row>
    <row r="16" spans="2:4" x14ac:dyDescent="0.35">
      <c r="B16" t="s">
        <v>224</v>
      </c>
      <c r="C16" t="s">
        <v>243</v>
      </c>
      <c r="D16" t="s">
        <v>244</v>
      </c>
    </row>
    <row r="17" spans="2:4" x14ac:dyDescent="0.35">
      <c r="B17" t="s">
        <v>228</v>
      </c>
      <c r="C17" t="s">
        <v>232</v>
      </c>
      <c r="D17" t="s">
        <v>232</v>
      </c>
    </row>
    <row r="18" spans="2:4" x14ac:dyDescent="0.35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56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5" sqref="D25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26.54296875" customWidth="1"/>
    <col min="5" max="5" width="38.1796875" customWidth="1"/>
    <col min="6" max="6" width="51" bestFit="1" customWidth="1"/>
    <col min="7" max="7" width="45.81640625" customWidth="1"/>
    <col min="8" max="8" width="38.453125" customWidth="1"/>
  </cols>
  <sheetData>
    <row r="1" spans="1:35" s="6" customFormat="1" x14ac:dyDescent="0.35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tr">
        <f>[1]Engineering_Materials!D2</f>
        <v>LIB</v>
      </c>
      <c r="F11" t="str">
        <f>[1]End_Use_Sectors!D2</f>
        <v>EV LIB</v>
      </c>
      <c r="G11" t="str">
        <f>[1]Waste_Scrap!D2</f>
        <v>LIB scrap</v>
      </c>
      <c r="H11" t="str">
        <f>'10_Regions'!D2</f>
        <v>USA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tr">
        <f>[1]Engineering_Materials!D3</f>
        <v>LIB materials</v>
      </c>
      <c r="F12" t="str">
        <f>[1]End_Use_Sectors!D3</f>
        <v>other EV LIB products</v>
      </c>
      <c r="G12" t="str">
        <f>[1]Waste_Scrap!D3</f>
        <v>Other scrap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5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5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5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5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5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9062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B7" sqref="B7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263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259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275</v>
      </c>
      <c r="E2">
        <v>0</v>
      </c>
      <c r="F2" s="4"/>
    </row>
    <row r="3" spans="1:7" x14ac:dyDescent="0.35">
      <c r="A3" s="6" t="s">
        <v>1</v>
      </c>
      <c r="B3" t="s">
        <v>261</v>
      </c>
      <c r="D3" s="4" t="s">
        <v>251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252</v>
      </c>
      <c r="E4">
        <v>2</v>
      </c>
      <c r="F4" s="4"/>
    </row>
    <row r="5" spans="1:7" x14ac:dyDescent="0.35">
      <c r="A5" s="6" t="s">
        <v>3</v>
      </c>
      <c r="B5" t="s">
        <v>260</v>
      </c>
      <c r="D5" s="4" t="s">
        <v>253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254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255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5">
      <c r="A9" s="6" t="s">
        <v>16</v>
      </c>
      <c r="B9" s="3"/>
      <c r="D9" s="4" t="s">
        <v>248</v>
      </c>
      <c r="E9">
        <v>7</v>
      </c>
      <c r="F9" s="4"/>
    </row>
    <row r="10" spans="1:7" x14ac:dyDescent="0.35">
      <c r="D10" s="4" t="s">
        <v>256</v>
      </c>
      <c r="E10">
        <v>8</v>
      </c>
      <c r="F10" s="4"/>
    </row>
    <row r="11" spans="1:7" x14ac:dyDescent="0.35">
      <c r="D11" s="4" t="s">
        <v>257</v>
      </c>
      <c r="E11">
        <v>9</v>
      </c>
      <c r="F11" s="4"/>
    </row>
    <row r="12" spans="1:7" x14ac:dyDescent="0.35">
      <c r="D12" s="4" t="s">
        <v>258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B1" workbookViewId="0">
      <selection activeCell="B3" sqref="B3"/>
    </sheetView>
  </sheetViews>
  <sheetFormatPr defaultColWidth="10.9062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262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276</v>
      </c>
      <c r="E2">
        <v>0</v>
      </c>
      <c r="F2" s="1"/>
    </row>
    <row r="3" spans="1:10" x14ac:dyDescent="0.35">
      <c r="A3" s="6" t="s">
        <v>1</v>
      </c>
      <c r="B3" t="s">
        <v>246</v>
      </c>
      <c r="D3" s="1" t="s">
        <v>277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266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B1" zoomScale="89" zoomScaleNormal="89" workbookViewId="0">
      <selection activeCell="D6" sqref="D6"/>
    </sheetView>
  </sheetViews>
  <sheetFormatPr defaultColWidth="10.9062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278</v>
      </c>
      <c r="E2">
        <v>0</v>
      </c>
      <c r="F2" s="1"/>
    </row>
    <row r="3" spans="1:7" x14ac:dyDescent="0.35">
      <c r="A3" s="6" t="s">
        <v>1</v>
      </c>
      <c r="B3" t="s">
        <v>239</v>
      </c>
      <c r="D3" s="1" t="s">
        <v>279</v>
      </c>
      <c r="E3">
        <v>1</v>
      </c>
      <c r="F3" s="1"/>
    </row>
    <row r="4" spans="1:7" x14ac:dyDescent="0.35">
      <c r="A4" s="6" t="s">
        <v>2</v>
      </c>
      <c r="B4" t="s">
        <v>8</v>
      </c>
      <c r="D4" s="1"/>
      <c r="F4" s="1"/>
    </row>
    <row r="5" spans="1:7" x14ac:dyDescent="0.35">
      <c r="A5" s="6" t="s">
        <v>3</v>
      </c>
      <c r="B5" t="s">
        <v>267</v>
      </c>
      <c r="D5" s="1"/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14" sqref="D14"/>
    </sheetView>
  </sheetViews>
  <sheetFormatPr defaultColWidth="10.9062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280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240</v>
      </c>
      <c r="D3" t="s">
        <v>281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268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opLeftCell="C1" workbookViewId="0">
      <selection activeCell="D4" sqref="D4"/>
    </sheetView>
  </sheetViews>
  <sheetFormatPr defaultColWidth="10.9062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269</v>
      </c>
      <c r="D2" t="s">
        <v>272</v>
      </c>
      <c r="E2">
        <v>0</v>
      </c>
      <c r="F2" s="1"/>
      <c r="H2" s="1"/>
    </row>
    <row r="3" spans="1:8" x14ac:dyDescent="0.35">
      <c r="A3" s="6" t="s">
        <v>1</v>
      </c>
      <c r="B3" t="s">
        <v>271</v>
      </c>
      <c r="D3" t="s">
        <v>273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270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2025-06-23T17:22:32Z</dcterms:modified>
</cp:coreProperties>
</file>