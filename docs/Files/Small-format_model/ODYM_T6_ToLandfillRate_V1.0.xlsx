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8C60C5C3-526E-481F-A327-5983228897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<sst xmlns="http://schemas.openxmlformats.org/spreadsheetml/2006/main" count="150" uniqueCount="108">
  <si>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</si>
  <si>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</si>
  <si>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</si>
  <si>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</si>
  <si>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</si>
  <si>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</si>
  <si>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</si>
  <si>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</si>
  <si>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</si>
  <si>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</si>
  <si>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</si>
  <si>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</si>
  <si>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</si>
  <si>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</si>
  <si>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</si>
  <si>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</si>
  <si>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</si>
  <si>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</si>
  <si>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</si>
  <si>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</si>
  <si>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</si>
  <si>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</si>
  <si>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</si>
  <si>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</si>
  <si>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</si>
  <si>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</si>
  <si>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</si>
  <si>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</si>
  <si>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</si>
  <si>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</si>
  <si>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</si>
  <si>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</si>
  <si>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</si>
  <si>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</si>
  <si>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</si>
  <si>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</si>
  <si>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</si>
  <si>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</si>
  <si>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</si>
  <si>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</si>
  <si>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</si>
  <si>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</si>
  <si>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</si>
  <si>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</si>
  <si>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</si>
  <si>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</si>
  <si>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</si>
  <si>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</si>
  <si>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</si>
  <si>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</si>
  <si>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</si>
  <si>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</si>
  <si>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</si>
  <si>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</si>
  <si>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</si>
  <si>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</si>
  <si>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</si>
  <si>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</si>
  <si>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</si>
  <si>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</si>
  <si>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</si>
  <si>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</si>
  <si>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</si>
  <si>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</si>
  <si>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</si>
  <si>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</si>
  <si>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</si>
  <si>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</si>
  <si>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</si>
  <si>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</si>
  <si>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</si>
  <si>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</si>
  <si>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</si>
  <si>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</si>
  <si>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</si>
  <si>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</si>
  <si>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</si>
  <si>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</si>
  <si>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</si>
  <si>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</si>
  <si>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</si>
  <si>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</si>
  <si>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</si>
  <si>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</si>
  <si>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</si>
  <si>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</si>
  <si>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</si>
  <si>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</si>
  <si>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</si>
  <si>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</si>
  <si>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</si>
  <si>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</si>
  <si>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</si>
  <si>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</si>
  <si>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</si>
  <si>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6213e899-8367-483a-8d09-a0c0831c22e6</t>
  </si>
  <si>
    <t>V.02</t>
  </si>
  <si>
    <t>Waste mgt. Industries</t>
  </si>
  <si>
    <t>ODYM_T6_ToLandfillRate</t>
  </si>
  <si>
    <t>EV LIB</t>
  </si>
  <si>
    <t>LIB</t>
  </si>
  <si>
    <t>LIB scrap</t>
  </si>
  <si>
    <t>other EV LIB products</t>
  </si>
  <si>
    <t>LIB materials</t>
  </si>
  <si>
    <t>Other scrap</t>
  </si>
  <si>
    <t>Share of after use flow going to landfill</t>
  </si>
  <si>
    <t>Temporary; Landfill is .1; to used export is 0.05; refurbishment  is 0; to recycling is .85</t>
  </si>
  <si>
    <t>ODYM_Classifications_SF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</si>
</sst>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0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96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98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105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97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98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95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107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3" sqref="I3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55</v>
      </c>
      <c r="B2" s="17" t="s">
        <v>99</v>
      </c>
      <c r="C2" t="s">
        <v>100</v>
      </c>
      <c r="D2" s="1" t="s">
        <v>101</v>
      </c>
      <c r="E2">
        <v>0.1</v>
      </c>
      <c r="F2">
        <v>1</v>
      </c>
      <c r="G2">
        <v>1</v>
      </c>
      <c r="H2" t="s">
        <v>54</v>
      </c>
      <c r="I2" t="s">
        <v>106</v>
      </c>
    </row>
    <row r="3" spans="1:9" x14ac:dyDescent="0.35">
      <c r="A3" t="s">
        <v>55</v>
      </c>
      <c r="B3" s="17" t="s">
        <v>102</v>
      </c>
      <c r="C3" t="s">
        <v>103</v>
      </c>
      <c r="D3" s="1" t="s">
        <v>104</v>
      </c>
      <c r="E3">
        <v>0.1</v>
      </c>
      <c r="F3">
        <v>1</v>
      </c>
      <c r="G3">
        <v>1</v>
      </c>
      <c r="H3" t="s">
        <v>54</v>
      </c>
      <c r="I3" t="s">
        <v>106</v>
      </c>
    </row>
    <row r="4" spans="1:9" x14ac:dyDescent="0.35">
      <c r="D4" s="1"/>
    </row>
    <row r="5" spans="1:9" x14ac:dyDescent="0.35">
      <c r="D5" s="1"/>
    </row>
    <row r="6" spans="1:9" x14ac:dyDescent="0.35">
      <c r="D6" s="1"/>
    </row>
    <row r="7" spans="1:9" x14ac:dyDescent="0.35">
      <c r="D7" s="1"/>
    </row>
    <row r="8" spans="1:9" x14ac:dyDescent="0.35">
      <c r="D8" s="1"/>
    </row>
    <row r="9" spans="1:9" x14ac:dyDescent="0.35">
      <c r="D9" s="1"/>
    </row>
    <row r="10" spans="1:9" x14ac:dyDescent="0.35">
      <c r="D10" s="1"/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1.5429687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6213e899-8367-483a-8d09-a0c0831c22e6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1.5429687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t="str">
        <f>Cover!B3</f>
        <v>ODYM_T6_ToLandfillRate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2025-08-15T14:31:07Z</dcterms:modified>
</cp:coreProperties>
</file>