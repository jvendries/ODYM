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563936FE-4B79-4492-A728-268032E901C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<sst xmlns="http://schemas.openxmlformats.org/spreadsheetml/2006/main" count="150" uniqueCount="108">
  <si>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</si>
  <si>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</si>
  <si>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</si>
  <si>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</si>
  <si>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</si>
  <si>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</si>
  <si>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</si>
  <si>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</si>
  <si>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</si>
  <si>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</si>
  <si>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</si>
  <si>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</si>
  <si>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</si>
  <si>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</si>
  <si>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</si>
  <si>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</si>
  <si>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</si>
  <si>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</si>
  <si>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</si>
  <si>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</si>
  <si>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</si>
  <si>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</si>
  <si>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</si>
  <si>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</si>
  <si>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</si>
  <si>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</si>
  <si>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</si>
  <si>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</si>
  <si>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</si>
  <si>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</si>
  <si>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</si>
  <si>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</si>
  <si>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</si>
  <si>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</si>
  <si>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</si>
  <si>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</si>
  <si>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</si>
  <si>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</si>
  <si>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</si>
  <si>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</si>
  <si>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</si>
  <si>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</si>
  <si>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</si>
  <si>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</si>
  <si>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</si>
  <si>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</si>
  <si>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</si>
  <si>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</si>
  <si>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</si>
  <si>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</si>
  <si>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</si>
  <si>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</si>
  <si>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</si>
  <si>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</si>
  <si>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</si>
  <si>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</si>
  <si>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</si>
  <si>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</si>
  <si>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</si>
  <si>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</si>
  <si>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</si>
  <si>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</si>
  <si>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</si>
  <si>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</si>
  <si>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</si>
  <si>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</si>
  <si>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</si>
  <si>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</si>
  <si>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</si>
  <si>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</si>
  <si>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</si>
  <si>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</si>
  <si>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</si>
  <si>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</si>
  <si>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</si>
  <si>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</si>
  <si>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</si>
  <si>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</si>
  <si>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</si>
  <si>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</si>
  <si>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</si>
  <si>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</si>
  <si>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</si>
  <si>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</si>
  <si>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</si>
  <si>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</si>
  <si>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</si>
  <si>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</si>
  <si>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</si>
  <si>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</si>
  <si>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</si>
  <si>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</si>
  <si>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</si>
  <si>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</si>
  <si>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</si>
  <si>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6213e899-8367-483a-8d09-a0c0831c22e6</t>
  </si>
  <si>
    <t>V.02</t>
  </si>
  <si>
    <t>Waste mgt. Industries</t>
  </si>
  <si>
    <t>ODYM_T6_ToLandfillRate</t>
  </si>
  <si>
    <t>LIB</t>
  </si>
  <si>
    <t>LIB scrap</t>
  </si>
  <si>
    <t>LIB materials</t>
  </si>
  <si>
    <t>Other scrap</t>
  </si>
  <si>
    <t>Share of after use flow going to landfill</t>
  </si>
  <si>
    <t>Temporary; Landfill is .1; to used export is 0.05; refurbishment  is 0; to recycling is .85</t>
  </si>
  <si>
    <t>ODYM_Classifications_SF</t>
  </si>
  <si>
    <t>SF LIB</t>
  </si>
  <si>
    <t>other SF LIB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</si>
</sst>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opLeftCell="A10" workbookViewId="0">
      <selection activeCell="B16" sqref="B16"/>
    </sheetView>
  </sheetViews>
  <sheetFormatPr defaultColWidth="11.54296875" defaultRowHeight="14.5" x14ac:dyDescent="0.35"/>
  <cols>
    <col min="1" max="1" width="34.453125" bestFit="1" customWidth="1"/>
    <col min="2" max="2" width="20.9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96</v>
      </c>
      <c r="E2" s="1" t="s">
        <v>16</v>
      </c>
      <c r="H2" s="7" t="s">
        <v>17</v>
      </c>
    </row>
    <row r="3" spans="1:8" x14ac:dyDescent="0.35">
      <c r="A3" s="6" t="s">
        <v>18</v>
      </c>
      <c r="B3" s="16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103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s="16" t="s">
        <v>98</v>
      </c>
      <c r="E9" s="1" t="s">
        <v>16</v>
      </c>
      <c r="H9" t="s">
        <v>44</v>
      </c>
    </row>
    <row r="10" spans="1:8" x14ac:dyDescent="0.35">
      <c r="A10" s="6" t="s">
        <v>25</v>
      </c>
      <c r="B10" s="12" t="s">
        <v>95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105</v>
      </c>
      <c r="E15" s="1" t="s">
        <v>16</v>
      </c>
      <c r="H15" t="s">
        <v>37</v>
      </c>
    </row>
    <row r="16" spans="1:8" x14ac:dyDescent="0.35">
      <c r="A16" s="2" t="s">
        <v>45</v>
      </c>
      <c r="E16" s="1"/>
    </row>
    <row r="17" spans="1:8" x14ac:dyDescent="0.35">
      <c r="A17" s="2" t="s">
        <v>45</v>
      </c>
      <c r="E17" s="1"/>
    </row>
    <row r="18" spans="1:8" x14ac:dyDescent="0.35">
      <c r="A18" s="2" t="s">
        <v>45</v>
      </c>
      <c r="E18" s="1"/>
    </row>
    <row r="19" spans="1:8" x14ac:dyDescent="0.35">
      <c r="A19" s="2" t="s">
        <v>45</v>
      </c>
      <c r="E19" s="1"/>
    </row>
    <row r="20" spans="1:8" x14ac:dyDescent="0.35">
      <c r="A20" s="2" t="s">
        <v>45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5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5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5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5">
      <c r="C27" s="8" t="s">
        <v>15</v>
      </c>
      <c r="D27" t="s">
        <v>51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tabSelected="1" zoomScale="70" zoomScaleNormal="70" workbookViewId="0">
      <selection activeCell="B4" sqref="B4"/>
    </sheetView>
  </sheetViews>
  <sheetFormatPr defaultColWidth="11.54296875" defaultRowHeight="14.5" x14ac:dyDescent="0.35"/>
  <cols>
    <col min="2" max="2" width="23.36328125" customWidth="1"/>
    <col min="3" max="3" width="19.54296875" customWidth="1"/>
    <col min="4" max="4" width="24.90625" customWidth="1"/>
    <col min="5" max="5" width="15.453125" bestFit="1" customWidth="1"/>
    <col min="6" max="7" width="17.6328125" bestFit="1" customWidth="1"/>
    <col min="8" max="8" width="30.08984375" bestFit="1" customWidth="1"/>
    <col min="9" max="9" width="11.36328125" customWidth="1"/>
    <col min="10" max="10" width="13.90625" bestFit="1" customWidth="1"/>
    <col min="11" max="11" width="12" bestFit="1" customWidth="1"/>
    <col min="12" max="12" width="15.81640625" bestFit="1" customWidth="1"/>
  </cols>
  <sheetData>
    <row r="1" spans="1:9" x14ac:dyDescent="0.35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5">
      <c r="A2" t="s">
        <v>55</v>
      </c>
      <c r="B2" s="17" t="s">
        <v>106</v>
      </c>
      <c r="C2" t="s">
        <v>99</v>
      </c>
      <c r="D2" s="1" t="s">
        <v>100</v>
      </c>
      <c r="E2">
        <v>0.1</v>
      </c>
      <c r="F2">
        <v>1</v>
      </c>
      <c r="G2">
        <v>1</v>
      </c>
      <c r="H2" t="s">
        <v>54</v>
      </c>
      <c r="I2" t="s">
        <v>104</v>
      </c>
    </row>
    <row r="3" spans="1:9" x14ac:dyDescent="0.35">
      <c r="A3" t="s">
        <v>55</v>
      </c>
      <c r="B3" s="17" t="s">
        <v>107</v>
      </c>
      <c r="C3" t="s">
        <v>101</v>
      </c>
      <c r="D3" s="1" t="s">
        <v>102</v>
      </c>
      <c r="E3">
        <v>0.1</v>
      </c>
      <c r="F3">
        <v>1</v>
      </c>
      <c r="G3">
        <v>1</v>
      </c>
      <c r="H3" t="s">
        <v>54</v>
      </c>
      <c r="I3" t="s">
        <v>104</v>
      </c>
    </row>
    <row r="4" spans="1:9" x14ac:dyDescent="0.35">
      <c r="D4" s="1"/>
    </row>
    <row r="5" spans="1:9" x14ac:dyDescent="0.35">
      <c r="D5" s="1"/>
    </row>
    <row r="6" spans="1:9" x14ac:dyDescent="0.35">
      <c r="D6" s="1"/>
    </row>
    <row r="7" spans="1:9" x14ac:dyDescent="0.35">
      <c r="D7" s="1"/>
    </row>
    <row r="8" spans="1:9" x14ac:dyDescent="0.35">
      <c r="D8" s="1"/>
    </row>
    <row r="9" spans="1:9" x14ac:dyDescent="0.35">
      <c r="D9" s="1"/>
    </row>
    <row r="10" spans="1:9" x14ac:dyDescent="0.35">
      <c r="D10" s="1"/>
    </row>
    <row r="35" spans="6:6" x14ac:dyDescent="0.35">
      <c r="F35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1.54296875" defaultRowHeight="14.5" x14ac:dyDescent="0.35"/>
  <sheetData>
    <row r="2" spans="2:13" x14ac:dyDescent="0.35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5">
      <c r="B3" s="13">
        <v>43344</v>
      </c>
      <c r="D3" s="14" t="s">
        <v>53</v>
      </c>
      <c r="E3" s="15"/>
      <c r="F3" s="12" t="str">
        <f>Cover!B10</f>
        <v>6213e899-8367-483a-8d09-a0c0831c22e6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1.54296875" defaultRowHeight="14.5" x14ac:dyDescent="0.35"/>
  <sheetData>
    <row r="2" spans="2:16" x14ac:dyDescent="0.35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5">
      <c r="B3" t="str">
        <f>Cover!B3</f>
        <v>ODYM_T6_ToLandfillRate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2025-08-19T18:23:38Z</dcterms:modified>
</cp:coreProperties>
</file>