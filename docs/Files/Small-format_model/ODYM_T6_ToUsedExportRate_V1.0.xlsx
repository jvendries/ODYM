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97F5F753-D1FC-4013-A000-C585BDEF371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<sst xmlns="http://schemas.openxmlformats.org/spreadsheetml/2006/main" count="150" uniqueCount="108">
  <si>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</si>
  <si>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</si>
  <si>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</si>
  <si>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</si>
  <si>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</si>
  <si>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</si>
  <si>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</si>
  <si>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</si>
  <si>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</si>
  <si>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</si>
  <si>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</si>
  <si>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</si>
  <si>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</si>
  <si>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</si>
  <si>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</si>
  <si>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</si>
  <si>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</si>
  <si>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</si>
  <si>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</si>
  <si>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</si>
  <si>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</si>
  <si>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</si>
  <si>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</si>
  <si>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</si>
  <si>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</si>
  <si>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</si>
  <si>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</si>
  <si>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</si>
  <si>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</si>
  <si>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</si>
  <si>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</si>
  <si>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</si>
  <si>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</si>
  <si>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</si>
  <si>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</si>
  <si>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</si>
  <si>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</si>
  <si>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</si>
  <si>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</si>
  <si>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</si>
  <si>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</si>
  <si>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</si>
  <si>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</si>
  <si>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</si>
  <si>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</si>
  <si>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</si>
  <si>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</si>
  <si>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</si>
  <si>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</si>
  <si>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</si>
  <si>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</si>
  <si>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</si>
  <si>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</si>
  <si>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</si>
  <si>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</si>
  <si>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</si>
  <si>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</si>
  <si>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</si>
  <si>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</si>
  <si>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</si>
  <si>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</si>
  <si>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</si>
  <si>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</si>
  <si>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</si>
  <si>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</si>
  <si>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</si>
  <si>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</si>
  <si>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</si>
  <si>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</si>
  <si>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</si>
  <si>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</si>
  <si>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</si>
  <si>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</si>
  <si>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</si>
  <si>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</si>
  <si>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</si>
  <si>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</si>
  <si>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</si>
  <si>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</si>
  <si>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</si>
  <si>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</si>
  <si>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</si>
  <si>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</si>
  <si>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</si>
  <si>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</si>
  <si>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</si>
  <si>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</si>
  <si>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</si>
  <si>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</si>
  <si>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</si>
  <si>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</si>
  <si>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</si>
  <si>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</si>
  <si>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</si>
  <si>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</si>
  <si>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</si>
  <si>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6213e899-8367-483a-8d09-a0c0831c22e7</t>
  </si>
  <si>
    <t>ODYM_T6_ToUsedExportRate</t>
  </si>
  <si>
    <t>Share of after use flow going to used export</t>
  </si>
  <si>
    <t>LIB</t>
  </si>
  <si>
    <t>LIB scrap</t>
  </si>
  <si>
    <t>LIB materials</t>
  </si>
  <si>
    <t>Other scrap</t>
  </si>
  <si>
    <t>Gaines et al 2023</t>
  </si>
  <si>
    <t>Used battery collection</t>
  </si>
  <si>
    <t>ODYM_Classifications_SF</t>
  </si>
  <si>
    <t>SF LIB</t>
  </si>
  <si>
    <t>other SF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</si>
</sst>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  <xf numFmtId="0" fontId="8" fillId="0" borderId="0" xfId="2"/>
  </cellXfs>
  <cellStyles count="3">
    <cellStyle name="Hyperlink" xfId="2" builtinId="8"/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ODYM_T6_ToUsedExportRateLL_V1.0.xlsx" TargetMode="External"/><Relationship Id="rId1" Type="http://schemas.openxmlformats.org/officeDocument/2006/relationships/hyperlink" Target="ODYM_T6_ToUsedExportRateLL_V1.0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95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97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104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97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96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105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5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5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5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abSelected="1" zoomScale="70" zoomScaleNormal="70" workbookViewId="0">
      <selection activeCell="E4" sqref="E4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55</v>
      </c>
      <c r="B2" s="17" t="s">
        <v>106</v>
      </c>
      <c r="C2" t="s">
        <v>99</v>
      </c>
      <c r="D2" s="1" t="s">
        <v>100</v>
      </c>
      <c r="E2">
        <v>0.2</v>
      </c>
      <c r="F2">
        <v>1</v>
      </c>
      <c r="G2">
        <v>1</v>
      </c>
      <c r="H2" t="s">
        <v>54</v>
      </c>
      <c r="I2" s="18" t="s">
        <v>103</v>
      </c>
    </row>
    <row r="3" spans="1:9" x14ac:dyDescent="0.35">
      <c r="A3" t="s">
        <v>55</v>
      </c>
      <c r="B3" s="17" t="s">
        <v>107</v>
      </c>
      <c r="C3" t="s">
        <v>101</v>
      </c>
      <c r="D3" s="1" t="s">
        <v>102</v>
      </c>
      <c r="E3">
        <v>0.2</v>
      </c>
      <c r="F3">
        <v>1</v>
      </c>
      <c r="G3">
        <v>1</v>
      </c>
      <c r="H3" t="s">
        <v>54</v>
      </c>
      <c r="I3" s="18" t="s">
        <v>103</v>
      </c>
    </row>
    <row r="4" spans="1:9" x14ac:dyDescent="0.35">
      <c r="D4" s="1"/>
    </row>
    <row r="5" spans="1:9" x14ac:dyDescent="0.35">
      <c r="D5" s="1"/>
    </row>
    <row r="6" spans="1:9" x14ac:dyDescent="0.35">
      <c r="D6" s="1"/>
    </row>
    <row r="7" spans="1:9" x14ac:dyDescent="0.35">
      <c r="D7" s="1"/>
    </row>
    <row r="8" spans="1:9" x14ac:dyDescent="0.35">
      <c r="D8" s="1"/>
    </row>
    <row r="9" spans="1:9" x14ac:dyDescent="0.35">
      <c r="D9" s="1"/>
    </row>
    <row r="10" spans="1:9" x14ac:dyDescent="0.35">
      <c r="D10" s="1"/>
    </row>
    <row r="35" spans="6:6" x14ac:dyDescent="0.35">
      <c r="F35" s="1"/>
    </row>
  </sheetData>
  <phoneticPr fontId="7" type="noConversion"/>
  <hyperlinks>
    <hyperlink ref="I2" r:id="rId1" xr:uid="{CF7DB6DA-8A14-4095-BFD6-F60E89D6141B}"/>
    <hyperlink ref="I3" r:id="rId2" xr:uid="{D88DEC64-47AD-4A9B-AF3D-87B88F84F6A8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topLeftCell="E1" workbookViewId="0">
      <selection activeCell="H3" sqref="H3"/>
    </sheetView>
  </sheetViews>
  <sheetFormatPr defaultColWidth="11.54296875" defaultRowHeight="14.5" x14ac:dyDescent="0.35"/>
  <sheetData>
    <row r="2" spans="2:13" x14ac:dyDescent="0.35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6213e899-8367-483a-8d09-a0c0831c22e7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1.54296875" defaultRowHeight="14.5" x14ac:dyDescent="0.35"/>
  <sheetData>
    <row r="2" spans="2:16" x14ac:dyDescent="0.35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5">
      <c r="B3" s="16" t="str">
        <f>Cover!B3</f>
        <v>ODYM_T6_ToUsedExportRate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2025-08-19T18:32:56Z</dcterms:modified>
</cp:coreProperties>
</file>