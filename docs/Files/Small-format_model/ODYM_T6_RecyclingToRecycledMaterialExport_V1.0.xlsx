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1103DC64-E36C-4702-AE5A-2BB49F14E35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<sst xmlns="http://schemas.openxmlformats.org/spreadsheetml/2006/main" count="154" uniqueCount="104">
  <si>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</si>
  <si>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</si>
  <si>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</si>
  <si>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</si>
  <si>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</si>
  <si>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</si>
  <si>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</si>
  <si>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</si>
  <si>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</si>
  <si>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</si>
  <si>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</si>
  <si>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</si>
  <si>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</si>
  <si>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</si>
  <si>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</si>
  <si>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</si>
  <si>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</si>
  <si>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</si>
  <si>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</si>
  <si>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</si>
  <si>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</si>
  <si>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</si>
  <si>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</si>
  <si>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</si>
  <si>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</si>
  <si>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</si>
  <si>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</si>
  <si>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</si>
  <si>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</si>
  <si>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</si>
  <si>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</si>
  <si>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</si>
  <si>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</si>
  <si>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</si>
  <si>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</si>
  <si>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</si>
  <si>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</si>
  <si>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</si>
  <si>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</si>
  <si>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</si>
  <si>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</si>
  <si>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</si>
  <si>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</si>
  <si>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</si>
  <si>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</si>
  <si>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</si>
  <si>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</si>
  <si>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</si>
  <si>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</si>
  <si>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</si>
  <si>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</si>
  <si>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</si>
  <si>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</si>
  <si>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</si>
  <si>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</si>
  <si>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</si>
  <si>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</si>
  <si>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</si>
  <si>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</si>
  <si>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</si>
  <si>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</si>
  <si>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</si>
  <si>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</si>
  <si>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</si>
  <si>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</si>
  <si>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</si>
  <si>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</si>
  <si>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</si>
  <si>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</si>
  <si>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</si>
  <si>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</si>
  <si>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</si>
  <si>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</si>
  <si>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</si>
  <si>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</si>
  <si>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</si>
  <si>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</si>
  <si>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</si>
  <si>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</si>
  <si>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</si>
  <si>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</si>
  <si>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</si>
  <si>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</si>
  <si>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</si>
  <si>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</si>
  <si>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</si>
  <si>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</si>
  <si>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</si>
  <si>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</si>
  <si>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</si>
  <si>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</si>
  <si>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</si>
  <si>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Share of material going to different end-use sectors</t>
  </si>
  <si>
    <t>LIB</t>
  </si>
  <si>
    <t>LIB materials</t>
  </si>
  <si>
    <t>Share of material going to non battery production different end-use sectors</t>
  </si>
  <si>
    <t>For each scenario, sum of all End_Use_Sector values (i.e., EV LIB and Other EV LIB Products) need to sum up to 1 between the following flows: Exported black mass, Recycled material to other production, Recycled material to export, and recycled material to domestic production</t>
  </si>
  <si>
    <t>Currently the above values are, respectively: [0+0] + [0+0.7] + [0+0] + [0.3+0]</t>
  </si>
  <si>
    <t>Preprocessing and recycling</t>
  </si>
  <si>
    <t>ODYM_T6_RecyclingToRecycledMaterialExport</t>
  </si>
  <si>
    <t>a3e33053-ab7a-4979-be82-d14c6e5eecei</t>
  </si>
  <si>
    <t>ODYM_Classifications_SF</t>
  </si>
  <si>
    <t>SF LIB</t>
  </si>
  <si>
    <t>other SF LIB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</si>
</sst>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opLeftCell="A8"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99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95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98</v>
      </c>
      <c r="E8" s="1" t="s">
        <v>16</v>
      </c>
      <c r="H8" t="s">
        <v>23</v>
      </c>
    </row>
    <row r="9" spans="1:8" x14ac:dyDescent="0.35">
      <c r="A9" s="2" t="s">
        <v>24</v>
      </c>
      <c r="B9" t="s">
        <v>99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100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101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16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57</v>
      </c>
      <c r="B23" t="s">
        <v>60</v>
      </c>
      <c r="C23" s="8" t="s">
        <v>11</v>
      </c>
      <c r="D23" t="s">
        <v>92</v>
      </c>
      <c r="E23" s="1" t="s">
        <v>16</v>
      </c>
      <c r="H23" t="s">
        <v>48</v>
      </c>
    </row>
    <row r="24" spans="1:8" x14ac:dyDescent="0.35">
      <c r="A24" s="8" t="s">
        <v>63</v>
      </c>
      <c r="B24" t="s">
        <v>64</v>
      </c>
      <c r="C24" s="8" t="s">
        <v>12</v>
      </c>
      <c r="D24" t="s">
        <v>58</v>
      </c>
      <c r="E24" s="1" t="s">
        <v>16</v>
      </c>
      <c r="H24" s="3" t="s">
        <v>49</v>
      </c>
    </row>
    <row r="25" spans="1:8" x14ac:dyDescent="0.35">
      <c r="A25" s="8" t="s">
        <v>61</v>
      </c>
      <c r="B25" t="s">
        <v>62</v>
      </c>
      <c r="C25" s="8" t="s">
        <v>13</v>
      </c>
      <c r="D25" t="s">
        <v>59</v>
      </c>
      <c r="E25" s="1" t="s">
        <v>16</v>
      </c>
      <c r="H25" s="3" t="s">
        <v>51</v>
      </c>
    </row>
    <row r="26" spans="1:8" x14ac:dyDescent="0.35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tabSelected="1" zoomScale="69" zoomScaleNormal="100" workbookViewId="0">
      <selection activeCell="C6" sqref="C6"/>
    </sheetView>
  </sheetViews>
  <sheetFormatPr defaultColWidth="10.90625" defaultRowHeight="14.5" x14ac:dyDescent="0.35"/>
  <cols>
    <col min="1" max="1" width="7.81640625" bestFit="1" customWidth="1"/>
    <col min="2" max="2" width="20.6328125" bestFit="1" customWidth="1"/>
    <col min="3" max="3" width="23.36328125" customWidth="1"/>
    <col min="4" max="4" width="15.453125" bestFit="1" customWidth="1"/>
    <col min="5" max="6" width="17.6328125" bestFit="1" customWidth="1"/>
    <col min="7" max="7" width="30.08984375" bestFit="1" customWidth="1"/>
    <col min="8" max="8" width="11.36328125" customWidth="1"/>
    <col min="9" max="9" width="13.81640625" bestFit="1" customWidth="1"/>
    <col min="10" max="10" width="12" bestFit="1" customWidth="1"/>
    <col min="11" max="11" width="15.81640625" bestFit="1" customWidth="1"/>
  </cols>
  <sheetData>
    <row r="1" spans="1:8" x14ac:dyDescent="0.35">
      <c r="A1" s="2" t="s">
        <v>57</v>
      </c>
      <c r="B1" s="2" t="s">
        <v>63</v>
      </c>
      <c r="C1" s="2" t="s">
        <v>61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5">
      <c r="A2" t="s">
        <v>56</v>
      </c>
      <c r="B2" t="s">
        <v>93</v>
      </c>
      <c r="C2" s="16" t="s">
        <v>102</v>
      </c>
      <c r="D2">
        <v>0</v>
      </c>
      <c r="E2">
        <v>1</v>
      </c>
      <c r="F2">
        <v>1</v>
      </c>
      <c r="G2" t="s">
        <v>55</v>
      </c>
      <c r="H2" t="s">
        <v>96</v>
      </c>
    </row>
    <row r="3" spans="1:8" x14ac:dyDescent="0.35">
      <c r="A3" t="s">
        <v>56</v>
      </c>
      <c r="B3" t="s">
        <v>93</v>
      </c>
      <c r="C3" s="16" t="s">
        <v>103</v>
      </c>
      <c r="D3">
        <v>0</v>
      </c>
      <c r="E3">
        <v>1</v>
      </c>
      <c r="F3">
        <v>1</v>
      </c>
      <c r="G3" t="s">
        <v>55</v>
      </c>
      <c r="H3" t="s">
        <v>97</v>
      </c>
    </row>
    <row r="4" spans="1:8" x14ac:dyDescent="0.35">
      <c r="A4" t="s">
        <v>56</v>
      </c>
      <c r="B4" t="s">
        <v>94</v>
      </c>
      <c r="C4" s="16" t="s">
        <v>102</v>
      </c>
      <c r="D4">
        <v>0</v>
      </c>
      <c r="E4">
        <v>1</v>
      </c>
      <c r="F4">
        <v>1</v>
      </c>
      <c r="G4" t="s">
        <v>55</v>
      </c>
      <c r="H4" t="s">
        <v>96</v>
      </c>
    </row>
    <row r="5" spans="1:8" x14ac:dyDescent="0.35">
      <c r="A5" t="s">
        <v>56</v>
      </c>
      <c r="B5" t="s">
        <v>94</v>
      </c>
      <c r="C5" s="16" t="s">
        <v>103</v>
      </c>
      <c r="D5">
        <v>0</v>
      </c>
      <c r="E5">
        <v>1</v>
      </c>
      <c r="F5">
        <v>1</v>
      </c>
      <c r="G5" t="s">
        <v>55</v>
      </c>
      <c r="H5" t="s">
        <v>97</v>
      </c>
    </row>
    <row r="23" spans="5:5" x14ac:dyDescent="0.35">
      <c r="E23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3" sqref="F3"/>
    </sheetView>
  </sheetViews>
  <sheetFormatPr defaultColWidth="10.90625" defaultRowHeight="14.5" x14ac:dyDescent="0.35"/>
  <sheetData>
    <row r="2" spans="2:13" x14ac:dyDescent="0.35"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</row>
    <row r="3" spans="2:13" x14ac:dyDescent="0.35">
      <c r="B3" s="13"/>
      <c r="D3" s="14" t="s">
        <v>54</v>
      </c>
      <c r="E3" s="15"/>
      <c r="F3" s="12" t="str">
        <f>Cover!B10</f>
        <v>a3e33053-ab7a-4979-be82-d14c6e5eecei</v>
      </c>
      <c r="G3" t="s">
        <v>77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3" sqref="B3"/>
    </sheetView>
  </sheetViews>
  <sheetFormatPr defaultColWidth="10.90625" defaultRowHeight="14.5" x14ac:dyDescent="0.35"/>
  <cols>
    <col min="2" max="2" width="34.08984375" bestFit="1" customWidth="1"/>
  </cols>
  <sheetData>
    <row r="2" spans="2:16" x14ac:dyDescent="0.35">
      <c r="B2" s="2" t="s">
        <v>78</v>
      </c>
      <c r="C2" s="2" t="s">
        <v>79</v>
      </c>
      <c r="D2" s="2" t="s">
        <v>80</v>
      </c>
      <c r="E2" s="2" t="s">
        <v>81</v>
      </c>
      <c r="F2" s="2"/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91</v>
      </c>
    </row>
    <row r="3" spans="2:16" x14ac:dyDescent="0.35">
      <c r="B3" t="str">
        <f>Cover!B9</f>
        <v>ODYM_T6_RecyclingToRecycledMaterialExport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2025-08-19T18:21:13Z</dcterms:modified>
</cp:coreProperties>
</file>