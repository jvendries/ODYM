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AC122214-04C1-4BC8-B887-1D28D711E90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B3" i="5"/>
</calcChain>
</file>

<file path=xl/sharedStrings.xml><?xml version="1.0" encoding="utf-8"?>
<sst xmlns="http://schemas.openxmlformats.org/spreadsheetml/2006/main" count="151" uniqueCount="108">
  <si>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</si>
  <si>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</si>
  <si>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</si>
  <si>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</si>
  <si>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</si>
  <si>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</si>
  <si>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</si>
  <si>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</si>
  <si>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</si>
  <si>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</si>
  <si>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</si>
  <si>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</si>
  <si>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</si>
  <si>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</si>
  <si>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</si>
  <si>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</si>
  <si>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</si>
  <si>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</si>
  <si>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</si>
  <si>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</si>
  <si>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</si>
  <si>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</si>
  <si>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</si>
  <si>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</si>
  <si>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</si>
  <si>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</si>
  <si>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</si>
  <si>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</si>
  <si>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</si>
  <si>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</si>
  <si>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</si>
  <si>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</si>
  <si>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</si>
  <si>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</si>
  <si>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</si>
  <si>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</si>
  <si>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</si>
  <si>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</si>
  <si>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</si>
  <si>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</si>
  <si>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</si>
  <si>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</si>
  <si>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</si>
  <si>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</si>
  <si>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</si>
  <si>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</si>
  <si>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</si>
  <si>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</si>
  <si>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</si>
  <si>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</si>
  <si>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</si>
  <si>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</si>
  <si>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</si>
  <si>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</si>
  <si>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</si>
  <si>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</si>
  <si>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</si>
  <si>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Recovery rate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</si>
  <si>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</si>
  <si>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</si>
  <si>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</si>
  <si>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</si>
  <si>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</si>
  <si>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</si>
  <si>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</si>
  <si>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</si>
  <si>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</si>
  <si>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</si>
  <si>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</si>
  <si>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</si>
  <si>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</si>
  <si>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</si>
  <si>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</si>
  <si>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</si>
  <si>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</si>
  <si>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</si>
  <si>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</si>
  <si>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</si>
  <si>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</si>
  <si>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</si>
  <si>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</si>
  <si>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</si>
  <si>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</si>
  <si>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</si>
  <si>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</si>
  <si>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</si>
  <si>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</si>
  <si>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</si>
  <si>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</si>
  <si>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</si>
  <si>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</si>
  <si>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</si>
  <si>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</si>
  <si>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</si>
  <si>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</si>
  <si>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V.02</t>
  </si>
  <si>
    <t>6213e899-8367-483a-8d09-a0c0831c22e9</t>
  </si>
  <si>
    <t>LIB</t>
  </si>
  <si>
    <t>LIB scrap</t>
  </si>
  <si>
    <t>LIB materials</t>
  </si>
  <si>
    <t>Other scrap</t>
  </si>
  <si>
    <t>ODYM_T6_ToSortingRate</t>
  </si>
  <si>
    <t>Share of after use flow going to Sorting</t>
  </si>
  <si>
    <t>Used battery collection</t>
  </si>
  <si>
    <t>To Sorting is .85; to used export is 0.05; to Landfill is the remainder, .1</t>
  </si>
  <si>
    <t>ODYM_Classifications_SF</t>
  </si>
  <si>
    <t>SF LIB</t>
  </si>
  <si>
    <t>other SF LIB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</si>
</sst>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1" xfId="0" applyBorder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16" sqref="B16"/>
    </sheetView>
  </sheetViews>
  <sheetFormatPr defaultColWidth="11.54296875" defaultRowHeight="14.5" x14ac:dyDescent="0.35"/>
  <cols>
    <col min="1" max="1" width="34.453125" bestFit="1" customWidth="1"/>
    <col min="2" max="2" width="20.9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95</v>
      </c>
      <c r="E2" s="1" t="s">
        <v>16</v>
      </c>
      <c r="H2" s="7" t="s">
        <v>17</v>
      </c>
    </row>
    <row r="3" spans="1:8" x14ac:dyDescent="0.35">
      <c r="A3" s="6" t="s">
        <v>18</v>
      </c>
      <c r="B3" s="16" t="s">
        <v>101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102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41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42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43</v>
      </c>
    </row>
    <row r="8" spans="1:8" x14ac:dyDescent="0.35">
      <c r="A8" s="2" t="s">
        <v>22</v>
      </c>
      <c r="B8" t="s">
        <v>103</v>
      </c>
      <c r="E8" s="1" t="s">
        <v>16</v>
      </c>
      <c r="H8" t="s">
        <v>23</v>
      </c>
    </row>
    <row r="9" spans="1:8" x14ac:dyDescent="0.35">
      <c r="A9" s="2" t="s">
        <v>24</v>
      </c>
      <c r="B9" s="16" t="s">
        <v>101</v>
      </c>
      <c r="E9" s="1" t="s">
        <v>16</v>
      </c>
      <c r="H9" t="s">
        <v>44</v>
      </c>
    </row>
    <row r="10" spans="1:8" x14ac:dyDescent="0.35">
      <c r="A10" s="6" t="s">
        <v>25</v>
      </c>
      <c r="B10" s="12" t="s">
        <v>96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53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105</v>
      </c>
      <c r="E15" s="1" t="s">
        <v>16</v>
      </c>
      <c r="H15" t="s">
        <v>37</v>
      </c>
    </row>
    <row r="16" spans="1:8" x14ac:dyDescent="0.35">
      <c r="A16" s="2" t="s">
        <v>45</v>
      </c>
      <c r="E16" s="1"/>
    </row>
    <row r="17" spans="1:8" x14ac:dyDescent="0.35">
      <c r="A17" s="2" t="s">
        <v>45</v>
      </c>
      <c r="E17" s="1"/>
    </row>
    <row r="18" spans="1:8" x14ac:dyDescent="0.35">
      <c r="A18" s="2" t="s">
        <v>45</v>
      </c>
      <c r="E18" s="1"/>
    </row>
    <row r="19" spans="1:8" x14ac:dyDescent="0.35">
      <c r="A19" s="2" t="s">
        <v>45</v>
      </c>
      <c r="E19" s="1"/>
    </row>
    <row r="20" spans="1:8" x14ac:dyDescent="0.35">
      <c r="A20" s="2" t="s">
        <v>45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46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56</v>
      </c>
      <c r="B23" t="s">
        <v>60</v>
      </c>
      <c r="C23" s="8" t="s">
        <v>11</v>
      </c>
      <c r="D23" t="s">
        <v>57</v>
      </c>
      <c r="E23" s="1" t="s">
        <v>16</v>
      </c>
      <c r="H23" t="s">
        <v>47</v>
      </c>
    </row>
    <row r="24" spans="1:8" x14ac:dyDescent="0.35">
      <c r="A24" s="8" t="s">
        <v>61</v>
      </c>
      <c r="B24" t="s">
        <v>62</v>
      </c>
      <c r="C24" s="8" t="s">
        <v>12</v>
      </c>
      <c r="D24" t="s">
        <v>58</v>
      </c>
      <c r="E24" s="1" t="s">
        <v>16</v>
      </c>
      <c r="H24" s="3" t="s">
        <v>48</v>
      </c>
    </row>
    <row r="25" spans="1:8" x14ac:dyDescent="0.35">
      <c r="A25" s="8" t="s">
        <v>63</v>
      </c>
      <c r="B25" t="s">
        <v>64</v>
      </c>
      <c r="C25" s="8" t="s">
        <v>13</v>
      </c>
      <c r="D25" t="s">
        <v>59</v>
      </c>
      <c r="E25" s="1" t="s">
        <v>16</v>
      </c>
      <c r="H25" s="3" t="s">
        <v>50</v>
      </c>
    </row>
    <row r="26" spans="1:8" x14ac:dyDescent="0.35">
      <c r="A26" s="8" t="s">
        <v>65</v>
      </c>
      <c r="B26" t="s">
        <v>66</v>
      </c>
      <c r="C26" s="8" t="s">
        <v>14</v>
      </c>
      <c r="D26" t="s">
        <v>49</v>
      </c>
      <c r="E26" s="1" t="s">
        <v>16</v>
      </c>
      <c r="H26" t="s">
        <v>52</v>
      </c>
    </row>
    <row r="27" spans="1:8" x14ac:dyDescent="0.35">
      <c r="C27" s="8" t="s">
        <v>15</v>
      </c>
      <c r="D27" t="s">
        <v>51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tabSelected="1" zoomScale="70" zoomScaleNormal="70" workbookViewId="0">
      <selection activeCell="E4" sqref="E4"/>
    </sheetView>
  </sheetViews>
  <sheetFormatPr defaultColWidth="11.54296875" defaultRowHeight="14.5" x14ac:dyDescent="0.35"/>
  <cols>
    <col min="2" max="2" width="23.36328125" customWidth="1"/>
    <col min="3" max="3" width="19.54296875" customWidth="1"/>
    <col min="4" max="4" width="24.90625" customWidth="1"/>
    <col min="5" max="5" width="15.453125" bestFit="1" customWidth="1"/>
    <col min="6" max="7" width="17.6328125" bestFit="1" customWidth="1"/>
    <col min="8" max="8" width="30.08984375" bestFit="1" customWidth="1"/>
    <col min="9" max="9" width="11.36328125" customWidth="1"/>
    <col min="10" max="10" width="13.90625" bestFit="1" customWidth="1"/>
    <col min="11" max="11" width="12" bestFit="1" customWidth="1"/>
    <col min="12" max="12" width="15.81640625" bestFit="1" customWidth="1"/>
  </cols>
  <sheetData>
    <row r="1" spans="1:9" x14ac:dyDescent="0.35">
      <c r="A1" s="2" t="s">
        <v>56</v>
      </c>
      <c r="B1" s="2" t="s">
        <v>61</v>
      </c>
      <c r="C1" s="2" t="s">
        <v>63</v>
      </c>
      <c r="D1" s="2" t="s">
        <v>65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5">
      <c r="A2" t="s">
        <v>55</v>
      </c>
      <c r="B2" s="17" t="s">
        <v>106</v>
      </c>
      <c r="C2" t="s">
        <v>97</v>
      </c>
      <c r="D2" s="1" t="s">
        <v>98</v>
      </c>
      <c r="E2">
        <v>0.7</v>
      </c>
      <c r="F2">
        <v>1</v>
      </c>
      <c r="G2">
        <v>1</v>
      </c>
      <c r="H2" t="s">
        <v>54</v>
      </c>
      <c r="I2" t="s">
        <v>104</v>
      </c>
    </row>
    <row r="3" spans="1:9" x14ac:dyDescent="0.35">
      <c r="A3" t="s">
        <v>55</v>
      </c>
      <c r="B3" s="17" t="s">
        <v>107</v>
      </c>
      <c r="C3" t="s">
        <v>99</v>
      </c>
      <c r="D3" s="1" t="s">
        <v>100</v>
      </c>
      <c r="E3">
        <v>0.7</v>
      </c>
      <c r="F3">
        <v>1</v>
      </c>
      <c r="G3">
        <v>1</v>
      </c>
      <c r="H3" t="s">
        <v>54</v>
      </c>
      <c r="I3" t="s">
        <v>104</v>
      </c>
    </row>
    <row r="4" spans="1:9" x14ac:dyDescent="0.35">
      <c r="D4" s="1"/>
    </row>
    <row r="5" spans="1:9" x14ac:dyDescent="0.35">
      <c r="D5" s="1"/>
    </row>
    <row r="6" spans="1:9" x14ac:dyDescent="0.35">
      <c r="D6" s="1"/>
    </row>
    <row r="7" spans="1:9" x14ac:dyDescent="0.35">
      <c r="D7" s="1"/>
    </row>
    <row r="8" spans="1:9" x14ac:dyDescent="0.35">
      <c r="D8" s="1"/>
    </row>
    <row r="9" spans="1:9" x14ac:dyDescent="0.35">
      <c r="D9" s="1"/>
    </row>
    <row r="10" spans="1:9" x14ac:dyDescent="0.35">
      <c r="D10" s="1"/>
      <c r="I10" t="s">
        <v>16</v>
      </c>
    </row>
    <row r="35" spans="6:6" x14ac:dyDescent="0.35">
      <c r="F35" s="1"/>
    </row>
  </sheetData>
  <phoneticPr fontId="7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4" sqref="F4"/>
    </sheetView>
  </sheetViews>
  <sheetFormatPr defaultColWidth="11.54296875" defaultRowHeight="14.5" x14ac:dyDescent="0.35"/>
  <sheetData>
    <row r="2" spans="2:13" x14ac:dyDescent="0.35"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</row>
    <row r="3" spans="2:13" x14ac:dyDescent="0.35">
      <c r="B3" s="13">
        <v>43344</v>
      </c>
      <c r="D3" s="14" t="s">
        <v>53</v>
      </c>
      <c r="E3" s="15"/>
      <c r="F3" s="12" t="str">
        <f>Cover!B10</f>
        <v>6213e899-8367-483a-8d09-a0c0831c22e9</v>
      </c>
      <c r="G3" t="s">
        <v>79</v>
      </c>
      <c r="H3" t="s">
        <v>80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6" sqref="B6"/>
    </sheetView>
  </sheetViews>
  <sheetFormatPr defaultColWidth="11.54296875" defaultRowHeight="14.5" x14ac:dyDescent="0.35"/>
  <sheetData>
    <row r="2" spans="2:16" x14ac:dyDescent="0.35">
      <c r="B2" s="2" t="s">
        <v>81</v>
      </c>
      <c r="C2" s="2" t="s">
        <v>82</v>
      </c>
      <c r="D2" s="2" t="s">
        <v>83</v>
      </c>
      <c r="E2" s="2" t="s">
        <v>84</v>
      </c>
      <c r="F2" s="2"/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  <c r="L2" s="2" t="s">
        <v>90</v>
      </c>
      <c r="M2" s="2" t="s">
        <v>91</v>
      </c>
      <c r="N2" s="2" t="s">
        <v>92</v>
      </c>
      <c r="O2" s="2" t="s">
        <v>93</v>
      </c>
      <c r="P2" s="2" t="s">
        <v>94</v>
      </c>
    </row>
    <row r="3" spans="2:16" x14ac:dyDescent="0.35">
      <c r="B3" s="16" t="str">
        <f>Cover!B3</f>
        <v>ODYM_T6_ToSortingRate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2025-08-19T18:32:40Z</dcterms:modified>
</cp:coreProperties>
</file>