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D3EBDA4-F3C5-496D-8A70-EBCC9292C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<sst xmlns="http://schemas.openxmlformats.org/spreadsheetml/2006/main" count="187" uniqueCount="111">
  <si>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</si>
  <si>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</si>
  <si>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</si>
  <si>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</si>
  <si>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</si>
  <si>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</si>
  <si>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</si>
  <si>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</si>
  <si>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</si>
  <si>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</si>
  <si>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</si>
  <si>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</si>
  <si>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</si>
  <si>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</si>
  <si>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</si>
  <si>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</si>
  <si>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</si>
  <si>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</si>
  <si>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</si>
  <si>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</si>
  <si>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</si>
  <si>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</si>
  <si>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</si>
  <si>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</si>
  <si>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</si>
  <si>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</si>
  <si>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</si>
  <si>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</si>
  <si>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</si>
  <si>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</si>
  <si>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</si>
  <si>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</si>
  <si>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</si>
  <si>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</si>
  <si>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</si>
  <si>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</si>
  <si>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</si>
  <si>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</si>
  <si>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</si>
  <si>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</si>
  <si>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</si>
  <si>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</si>
  <si>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</si>
  <si>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</si>
  <si>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</si>
  <si>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</si>
  <si>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</si>
  <si>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</si>
  <si>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</si>
  <si>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</si>
  <si>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</si>
  <si>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</si>
  <si>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</si>
  <si>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</si>
  <si>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</si>
  <si>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</si>
  <si>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</si>
  <si>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</si>
  <si>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</si>
  <si>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</si>
  <si>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</si>
  <si>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</si>
  <si>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</si>
  <si>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</si>
  <si>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</si>
  <si>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</si>
  <si>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</si>
  <si>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</si>
  <si>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</si>
  <si>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</si>
  <si>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</si>
  <si>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</si>
  <si>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</si>
  <si>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</si>
  <si>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</si>
  <si>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</si>
  <si>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</si>
  <si>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</si>
  <si>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</si>
  <si>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</si>
  <si>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</si>
  <si>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</si>
  <si>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</si>
  <si>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</si>
  <si>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</si>
  <si>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</si>
  <si>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</si>
  <si>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</si>
  <si>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</si>
  <si>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</si>
  <si>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</si>
  <si>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</si>
  <si>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</si>
  <si>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</si>
  <si>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</si>
  <si>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</si>
  <si>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</si>
  <si>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</si>
  <si>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</si>
  <si>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</si>
  <si>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</si>
  <si>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</si>
  <si>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</si>
  <si>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</si>
  <si>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</si>
  <si>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</si>
  <si>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Recycling</t>
  </si>
  <si>
    <t>Made up; blackmass, recovered not for battery, recycled export, and recycled domestic product all .25</t>
  </si>
  <si>
    <t>ODYM_T6_P8_RecoveredNotForBattery</t>
  </si>
  <si>
    <t>6213e899-8367-483a-8d09-a0c0831c2211</t>
  </si>
  <si>
    <t>Share of P8 going to non battery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</si>
</sst>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5" sqref="B5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105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108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110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106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108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109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60</v>
      </c>
      <c r="B23" t="s">
        <v>70</v>
      </c>
      <c r="C23" s="8" t="s">
        <v>11</v>
      </c>
      <c r="D23" t="s">
        <v>67</v>
      </c>
      <c r="E23" s="1" t="s">
        <v>16</v>
      </c>
      <c r="H23" t="s">
        <v>47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48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50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2" sqref="I2:I9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60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58</v>
      </c>
      <c r="B2" t="s">
        <v>61</v>
      </c>
      <c r="C2" t="s">
        <v>55</v>
      </c>
      <c r="D2" s="1" t="s">
        <v>56</v>
      </c>
      <c r="E2">
        <v>0.25</v>
      </c>
      <c r="F2">
        <v>1</v>
      </c>
      <c r="G2">
        <v>1</v>
      </c>
      <c r="H2" t="s">
        <v>54</v>
      </c>
      <c r="I2" t="s">
        <v>107</v>
      </c>
    </row>
    <row r="3" spans="1:9" x14ac:dyDescent="0.3">
      <c r="A3" t="s">
        <v>58</v>
      </c>
      <c r="B3" t="s">
        <v>62</v>
      </c>
      <c r="C3" t="s">
        <v>65</v>
      </c>
      <c r="D3" s="1" t="s">
        <v>66</v>
      </c>
      <c r="E3">
        <v>0.25</v>
      </c>
      <c r="F3">
        <v>1</v>
      </c>
      <c r="G3">
        <v>1</v>
      </c>
      <c r="H3" t="s">
        <v>54</v>
      </c>
      <c r="I3" t="s">
        <v>107</v>
      </c>
    </row>
    <row r="4" spans="1:9" x14ac:dyDescent="0.3">
      <c r="A4" t="s">
        <v>58</v>
      </c>
      <c r="B4" t="s">
        <v>63</v>
      </c>
      <c r="C4" t="s">
        <v>65</v>
      </c>
      <c r="D4" s="1" t="s">
        <v>66</v>
      </c>
      <c r="E4">
        <v>0.25</v>
      </c>
      <c r="F4">
        <v>1</v>
      </c>
      <c r="G4">
        <v>1</v>
      </c>
      <c r="H4" t="s">
        <v>54</v>
      </c>
      <c r="I4" t="s">
        <v>107</v>
      </c>
    </row>
    <row r="5" spans="1:9" x14ac:dyDescent="0.3">
      <c r="A5" t="s">
        <v>58</v>
      </c>
      <c r="B5" t="s">
        <v>64</v>
      </c>
      <c r="C5" t="s">
        <v>55</v>
      </c>
      <c r="D5" s="1" t="s">
        <v>56</v>
      </c>
      <c r="E5">
        <v>0.25</v>
      </c>
      <c r="F5">
        <v>1</v>
      </c>
      <c r="G5">
        <v>1</v>
      </c>
      <c r="H5" t="s">
        <v>54</v>
      </c>
      <c r="I5" t="s">
        <v>107</v>
      </c>
    </row>
    <row r="6" spans="1:9" x14ac:dyDescent="0.3">
      <c r="A6" t="s">
        <v>59</v>
      </c>
      <c r="B6" t="s">
        <v>61</v>
      </c>
      <c r="C6" t="s">
        <v>55</v>
      </c>
      <c r="D6" s="1" t="s">
        <v>56</v>
      </c>
      <c r="E6">
        <v>0.25</v>
      </c>
      <c r="F6">
        <v>1</v>
      </c>
      <c r="G6">
        <v>1</v>
      </c>
      <c r="H6" t="s">
        <v>54</v>
      </c>
      <c r="I6" t="s">
        <v>107</v>
      </c>
    </row>
    <row r="7" spans="1:9" x14ac:dyDescent="0.3">
      <c r="A7" t="s">
        <v>59</v>
      </c>
      <c r="B7" t="s">
        <v>62</v>
      </c>
      <c r="C7" t="s">
        <v>65</v>
      </c>
      <c r="D7" s="1" t="s">
        <v>66</v>
      </c>
      <c r="E7">
        <v>0.25</v>
      </c>
      <c r="F7">
        <v>1</v>
      </c>
      <c r="G7">
        <v>1</v>
      </c>
      <c r="H7" t="s">
        <v>54</v>
      </c>
      <c r="I7" t="s">
        <v>107</v>
      </c>
    </row>
    <row r="8" spans="1:9" x14ac:dyDescent="0.3">
      <c r="A8" t="s">
        <v>59</v>
      </c>
      <c r="B8" t="s">
        <v>63</v>
      </c>
      <c r="C8" t="s">
        <v>65</v>
      </c>
      <c r="D8" s="1" t="s">
        <v>66</v>
      </c>
      <c r="E8">
        <v>0.25</v>
      </c>
      <c r="F8">
        <v>1</v>
      </c>
      <c r="G8">
        <v>1</v>
      </c>
      <c r="H8" t="s">
        <v>54</v>
      </c>
      <c r="I8" t="s">
        <v>107</v>
      </c>
    </row>
    <row r="9" spans="1:9" x14ac:dyDescent="0.3">
      <c r="A9" t="s">
        <v>59</v>
      </c>
      <c r="B9" t="s">
        <v>64</v>
      </c>
      <c r="C9" t="s">
        <v>55</v>
      </c>
      <c r="D9" s="1" t="s">
        <v>56</v>
      </c>
      <c r="E9">
        <v>0.25</v>
      </c>
      <c r="F9">
        <v>1</v>
      </c>
      <c r="G9">
        <v>1</v>
      </c>
      <c r="H9" t="s">
        <v>54</v>
      </c>
      <c r="I9" t="s">
        <v>107</v>
      </c>
    </row>
    <row r="10" spans="1:9" x14ac:dyDescent="0.3">
      <c r="D10" s="1"/>
      <c r="I10" t="s">
        <v>16</v>
      </c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546875" defaultRowHeight="14.4" x14ac:dyDescent="0.3"/>
  <cols>
    <col min="6" max="6" width="44.109375" customWidth="1"/>
  </cols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6213e899-8367-483a-8d09-a0c0831c2211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546875" defaultRowHeight="14.4" x14ac:dyDescent="0.3"/>
  <cols>
    <col min="2" max="2" width="37" customWidth="1"/>
  </cols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s="16" t="str">
        <f>Cover!B3</f>
        <v>ODYM_T6_P8_RecoveredNotForBattery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2025-05-30T02:27:25Z</dcterms:modified>
</cp:coreProperties>
</file>