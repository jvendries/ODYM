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07DE284-34FF-42C6-84EB-B3741E1BF6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<sst xmlns="http://schemas.openxmlformats.org/spreadsheetml/2006/main" count="187" uniqueCount="111">
  <si>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</si>
  <si>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</si>
  <si>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</si>
  <si>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</si>
  <si>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</si>
  <si>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</si>
  <si>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</si>
  <si>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</si>
  <si>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</si>
  <si>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</si>
  <si>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</si>
  <si>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</si>
  <si>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</si>
  <si>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</si>
  <si>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</si>
  <si>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</si>
  <si>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</si>
  <si>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</si>
  <si>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</si>
  <si>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</si>
  <si>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</si>
  <si>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</si>
  <si>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</si>
  <si>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</si>
  <si>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</si>
  <si>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</si>
  <si>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</si>
  <si>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</si>
  <si>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</si>
  <si>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</si>
  <si>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</si>
  <si>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</si>
  <si>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</si>
  <si>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</si>
  <si>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</si>
  <si>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</si>
  <si>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</si>
  <si>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</si>
  <si>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</si>
  <si>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</si>
  <si>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</si>
  <si>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</si>
  <si>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</si>
  <si>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</si>
  <si>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</si>
  <si>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</si>
  <si>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</si>
  <si>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</si>
  <si>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</si>
  <si>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</si>
  <si>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</si>
  <si>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</si>
  <si>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</si>
  <si>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</si>
  <si>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</si>
  <si>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</si>
  <si>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</si>
  <si>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</si>
  <si>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</si>
  <si>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</si>
  <si>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</si>
  <si>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</si>
  <si>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</si>
  <si>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</si>
  <si>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</si>
  <si>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</si>
  <si>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</si>
  <si>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</si>
  <si>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</si>
  <si>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</si>
  <si>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</si>
  <si>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</si>
  <si>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</si>
  <si>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</si>
  <si>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</si>
  <si>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</si>
  <si>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</si>
  <si>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</si>
  <si>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</si>
  <si>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</si>
  <si>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</si>
  <si>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</si>
  <si>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</si>
  <si>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</si>
  <si>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</si>
  <si>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</si>
  <si>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</si>
  <si>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</si>
  <si>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</si>
  <si>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</si>
  <si>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</si>
  <si>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</si>
  <si>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</si>
  <si>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</si>
  <si>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</si>
  <si>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</si>
  <si>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</si>
  <si>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</si>
  <si>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</si>
  <si>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</si>
  <si>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</si>
  <si>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</si>
  <si>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</si>
  <si>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</si>
  <si>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</si>
  <si>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Recycling</t>
  </si>
  <si>
    <t>Made up; blackmass, recovered not for battery, recycled export, and recycled domestic product all .25</t>
  </si>
  <si>
    <t>ODYM_T6_P8_RecycledExport</t>
  </si>
  <si>
    <t>Share of P8 recycled material going to export</t>
  </si>
  <si>
    <t>6213e899-8367-483a-8d09-a0c0831c2212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</si>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</sst>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104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105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107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109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110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69</v>
      </c>
      <c r="C23" s="8" t="s">
        <v>11</v>
      </c>
      <c r="D23" t="s">
        <v>66</v>
      </c>
      <c r="E23" s="1" t="s">
        <v>16</v>
      </c>
      <c r="H23" t="s">
        <v>47</v>
      </c>
    </row>
    <row r="24" spans="1:8" x14ac:dyDescent="0.35">
      <c r="A24" s="8" t="s">
        <v>70</v>
      </c>
      <c r="B24" t="s">
        <v>71</v>
      </c>
      <c r="C24" s="8" t="s">
        <v>12</v>
      </c>
      <c r="D24" t="s">
        <v>67</v>
      </c>
      <c r="E24" s="1" t="s">
        <v>16</v>
      </c>
      <c r="H24" s="3" t="s">
        <v>48</v>
      </c>
    </row>
    <row r="25" spans="1:8" x14ac:dyDescent="0.35">
      <c r="A25" s="8" t="s">
        <v>72</v>
      </c>
      <c r="B25" t="s">
        <v>73</v>
      </c>
      <c r="C25" s="8" t="s">
        <v>13</v>
      </c>
      <c r="D25" t="s">
        <v>68</v>
      </c>
      <c r="E25" s="1" t="s">
        <v>16</v>
      </c>
      <c r="H25" s="3" t="s">
        <v>50</v>
      </c>
    </row>
    <row r="26" spans="1:8" x14ac:dyDescent="0.35">
      <c r="A26" s="8" t="s">
        <v>74</v>
      </c>
      <c r="B26" t="s">
        <v>75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:I9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59</v>
      </c>
      <c r="B1" s="2" t="s">
        <v>70</v>
      </c>
      <c r="C1" s="2" t="s">
        <v>72</v>
      </c>
      <c r="D1" s="2" t="s">
        <v>74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t="s">
        <v>60</v>
      </c>
      <c r="C2" t="s">
        <v>55</v>
      </c>
      <c r="D2" s="1" t="s">
        <v>56</v>
      </c>
      <c r="E2">
        <v>0.25</v>
      </c>
      <c r="F2">
        <v>1</v>
      </c>
      <c r="G2">
        <v>1</v>
      </c>
      <c r="H2" t="s">
        <v>54</v>
      </c>
      <c r="I2" t="s">
        <v>106</v>
      </c>
    </row>
    <row r="3" spans="1:9" x14ac:dyDescent="0.35">
      <c r="A3" t="s">
        <v>57</v>
      </c>
      <c r="B3" t="s">
        <v>61</v>
      </c>
      <c r="C3" t="s">
        <v>64</v>
      </c>
      <c r="D3" s="1" t="s">
        <v>65</v>
      </c>
      <c r="E3">
        <v>0.25</v>
      </c>
      <c r="F3">
        <v>1</v>
      </c>
      <c r="G3">
        <v>1</v>
      </c>
      <c r="H3" t="s">
        <v>54</v>
      </c>
      <c r="I3" t="s">
        <v>106</v>
      </c>
    </row>
    <row r="4" spans="1:9" x14ac:dyDescent="0.35">
      <c r="A4" t="s">
        <v>57</v>
      </c>
      <c r="B4" t="s">
        <v>62</v>
      </c>
      <c r="C4" t="s">
        <v>64</v>
      </c>
      <c r="D4" s="1" t="s">
        <v>65</v>
      </c>
      <c r="E4">
        <v>0.25</v>
      </c>
      <c r="F4">
        <v>1</v>
      </c>
      <c r="G4">
        <v>1</v>
      </c>
      <c r="H4" t="s">
        <v>54</v>
      </c>
      <c r="I4" t="s">
        <v>106</v>
      </c>
    </row>
    <row r="5" spans="1:9" x14ac:dyDescent="0.35">
      <c r="A5" t="s">
        <v>57</v>
      </c>
      <c r="B5" t="s">
        <v>63</v>
      </c>
      <c r="C5" t="s">
        <v>55</v>
      </c>
      <c r="D5" s="1" t="s">
        <v>56</v>
      </c>
      <c r="E5">
        <v>0.25</v>
      </c>
      <c r="F5">
        <v>1</v>
      </c>
      <c r="G5">
        <v>1</v>
      </c>
      <c r="H5" t="s">
        <v>54</v>
      </c>
      <c r="I5" t="s">
        <v>106</v>
      </c>
    </row>
    <row r="6" spans="1:9" x14ac:dyDescent="0.35">
      <c r="A6" t="s">
        <v>58</v>
      </c>
      <c r="B6" t="s">
        <v>60</v>
      </c>
      <c r="C6" t="s">
        <v>55</v>
      </c>
      <c r="D6" s="1" t="s">
        <v>56</v>
      </c>
      <c r="E6">
        <v>0.25</v>
      </c>
      <c r="F6">
        <v>1</v>
      </c>
      <c r="G6">
        <v>1</v>
      </c>
      <c r="H6" t="s">
        <v>54</v>
      </c>
      <c r="I6" t="s">
        <v>106</v>
      </c>
    </row>
    <row r="7" spans="1:9" x14ac:dyDescent="0.35">
      <c r="A7" t="s">
        <v>58</v>
      </c>
      <c r="B7" t="s">
        <v>61</v>
      </c>
      <c r="C7" t="s">
        <v>64</v>
      </c>
      <c r="D7" s="1" t="s">
        <v>65</v>
      </c>
      <c r="E7">
        <v>0.25</v>
      </c>
      <c r="F7">
        <v>1</v>
      </c>
      <c r="G7">
        <v>1</v>
      </c>
      <c r="H7" t="s">
        <v>54</v>
      </c>
      <c r="I7" t="s">
        <v>106</v>
      </c>
    </row>
    <row r="8" spans="1:9" x14ac:dyDescent="0.35">
      <c r="A8" t="s">
        <v>58</v>
      </c>
      <c r="B8" t="s">
        <v>62</v>
      </c>
      <c r="C8" t="s">
        <v>64</v>
      </c>
      <c r="D8" s="1" t="s">
        <v>65</v>
      </c>
      <c r="E8">
        <v>0.25</v>
      </c>
      <c r="F8">
        <v>1</v>
      </c>
      <c r="G8">
        <v>1</v>
      </c>
      <c r="H8" t="s">
        <v>54</v>
      </c>
      <c r="I8" t="s">
        <v>106</v>
      </c>
    </row>
    <row r="9" spans="1:9" x14ac:dyDescent="0.35">
      <c r="A9" t="s">
        <v>58</v>
      </c>
      <c r="B9" t="s">
        <v>63</v>
      </c>
      <c r="C9" t="s">
        <v>55</v>
      </c>
      <c r="D9" s="1" t="s">
        <v>56</v>
      </c>
      <c r="E9">
        <v>0.25</v>
      </c>
      <c r="F9">
        <v>1</v>
      </c>
      <c r="G9">
        <v>1</v>
      </c>
      <c r="H9" t="s">
        <v>54</v>
      </c>
      <c r="I9" t="s">
        <v>106</v>
      </c>
    </row>
    <row r="10" spans="1:9" x14ac:dyDescent="0.35">
      <c r="D10" s="1"/>
      <c r="I10" t="s">
        <v>16</v>
      </c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4296875" defaultRowHeight="14.5" x14ac:dyDescent="0.35"/>
  <cols>
    <col min="6" max="6" width="44.08984375" customWidth="1"/>
  </cols>
  <sheetData>
    <row r="2" spans="2:13" x14ac:dyDescent="0.35"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6213e899-8367-483a-8d09-a0c0831c2212</v>
      </c>
      <c r="G3" t="s">
        <v>88</v>
      </c>
      <c r="H3" t="s">
        <v>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4296875" defaultRowHeight="14.5" x14ac:dyDescent="0.35"/>
  <cols>
    <col min="2" max="2" width="37" customWidth="1"/>
  </cols>
  <sheetData>
    <row r="2" spans="2:16" x14ac:dyDescent="0.35">
      <c r="B2" s="2" t="s">
        <v>90</v>
      </c>
      <c r="C2" s="2" t="s">
        <v>91</v>
      </c>
      <c r="D2" s="2" t="s">
        <v>92</v>
      </c>
      <c r="E2" s="2" t="s">
        <v>93</v>
      </c>
      <c r="F2" s="2"/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</row>
    <row r="3" spans="2:16" x14ac:dyDescent="0.35">
      <c r="B3" s="16" t="str">
        <f>Cover!B3</f>
        <v>ODYM_T6_P8_RecycledExport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2025-06-10T18:44:51Z</dcterms:modified>
</cp:coreProperties>
</file>