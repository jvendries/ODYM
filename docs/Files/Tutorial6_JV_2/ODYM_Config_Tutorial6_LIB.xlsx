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lanphear\Code\ODYM\docs\Files\Tutorial6_JV_2\"/>
    </mc:Choice>
  </mc:AlternateContent>
  <xr:revisionPtr revIDLastSave="0" documentId="13_ncr:1_{DCEFF277-DEFA-460A-BF6E-B663D3DDCC8E}" xr6:coauthVersionLast="47" xr6:coauthVersionMax="47" xr10:uidLastSave="{00000000-0000-0000-0000-000000000000}"/>
  <bookViews>
    <workbookView xWindow="9510" yWindow="0" windowWidth="9780" windowHeight="10170" tabRatio="844" activeTab="1" xr2:uid="{00000000-000D-0000-FFFF-FFFF00000000}"/>
  </bookViews>
  <sheets>
    <sheet name="Config" sheetId="5" r:id="rId1"/>
    <sheet name="Setting_EVLIB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<sst xmlns="http://schemas.openxmlformats.org/spreadsheetml/2006/main" count="238" uniqueCount="159">
  <si>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</si>
  <si>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</si>
  <si>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</si>
  <si>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</si>
  <si>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</si>
  <si>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</si>
  <si>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</si>
  <si>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</si>
  <si>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</si>
  <si>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</si>
  <si>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</si>
  <si>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</si>
  <si>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</si>
  <si>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</si>
  <si>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</si>
  <si>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</si>
  <si>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</si>
  <si>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</si>
  <si>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</si>
  <si>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</si>
  <si>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</si>
  <si>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</si>
  <si>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</si>
  <si>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</si>
  <si>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</si>
  <si>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</si>
  <si>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</si>
  <si>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</si>
  <si>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</si>
  <si>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</si>
  <si>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</si>
  <si>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</si>
  <si>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</si>
  <si>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</si>
  <si>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</si>
  <si>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Control how model output is archived and which figures are created.</t>
  </si>
  <si>
    <t>Aspect order match</t>
  </si>
  <si>
    <t>User Name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</si>
  <si>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</si>
  <si>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</si>
  <si>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</si>
  <si>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</si>
  <si>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</si>
  <si>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</si>
  <si>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</si>
  <si>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</si>
  <si>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</si>
  <si>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</si>
  <si>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</si>
  <si>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</si>
  <si>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</si>
  <si>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</si>
  <si>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</si>
  <si>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</si>
  <si>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</si>
  <si>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</si>
  <si>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</si>
  <si>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</si>
  <si>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</si>
  <si>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</si>
  <si>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</si>
  <si>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</si>
  <si>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</si>
  <si>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</si>
  <si>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</si>
  <si>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</si>
  <si>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</si>
  <si>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</si>
  <si>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</si>
  <si>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</si>
  <si>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</si>
  <si>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</si>
  <si>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</si>
  <si>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</si>
  <si>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</si>
  <si>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</si>
  <si>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</si>
  <si>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</si>
  <si>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</si>
  <si>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</si>
  <si>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</si>
  <si>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</si>
  <si>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</si>
  <si>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</si>
  <si>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</si>
  <si>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</si>
  <si>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</si>
  <si>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</si>
  <si>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</si>
  <si>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</si>
  <si>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</si>
  <si>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</si>
  <si>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</si>
  <si>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</si>
  <si>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6213e899-8367-483a-8d09-a0c0831c22e5</t>
  </si>
  <si>
    <t>Final consumption of steel, exogenous model driver</t>
  </si>
  <si>
    <t>EoL recovery rate of steel scrap from products</t>
  </si>
  <si>
    <t>Sgmw</t>
  </si>
  <si>
    <t>Stgm</t>
  </si>
  <si>
    <t>03175789-dfcb-4448-99b1-1c467b65b3ed</t>
  </si>
  <si>
    <t>Share of material lost as fabrication scrap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</si>
  <si>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</si>
  <si>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</si>
  <si>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</si>
  <si>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</si>
  <si>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</si>
  <si>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</si>
  <si>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</si>
  <si>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Jvendries</t>
  </si>
  <si>
    <t>LIB dMFA</t>
  </si>
  <si>
    <t>Dynamic MFA of EV LIB in the US</t>
  </si>
  <si>
    <t>[300:325)</t>
  </si>
  <si>
    <t>Production</t>
  </si>
  <si>
    <t>Sales and distribution</t>
  </si>
  <si>
    <t>Used battery collection and sorting</t>
  </si>
  <si>
    <t>Landfill</t>
  </si>
  <si>
    <t>Refurbishment</t>
  </si>
  <si>
    <t>Recycling</t>
  </si>
  <si>
    <t>Consider removing if unnecesary for code</t>
  </si>
  <si>
    <t>Consider reclassifying as Industry</t>
  </si>
  <si>
    <t>EVLIB</t>
  </si>
  <si>
    <t>EVLIB_dMFA</t>
  </si>
  <si>
    <t>JV_ODYM_Example_6_LIBv2</t>
  </si>
  <si>
    <t>ODYM_Classifications_EVLIB</t>
  </si>
  <si>
    <t>Extraction</t>
  </si>
  <si>
    <t>ODYM_T6_P5_ToLandfillRate</t>
  </si>
  <si>
    <t>Share of P5 going to landfill</t>
  </si>
  <si>
    <t>6213e899-8367-483a-8d09-a0c0831c22e6</t>
  </si>
  <si>
    <t>ODYM_T6_P5_ToUsedExportRate</t>
  </si>
  <si>
    <t>Share of P5 going to used export</t>
  </si>
  <si>
    <t>6213e899-8367-483a-8d09-a0c0831c22e7</t>
  </si>
  <si>
    <t>ODYM_T6_P5_ToRefurbishment</t>
  </si>
  <si>
    <t>Share of P5 going to refurbishment (currently 0%) TODO</t>
  </si>
  <si>
    <t>6213e899-8367-483a-8d09-a0c0831c22e8</t>
  </si>
  <si>
    <t>ODYM_T6_P5_ToRecycling</t>
  </si>
  <si>
    <t>Share of P5 going to recycling</t>
  </si>
  <si>
    <t>6213e899-8367-483a-8d09-a0c0831c22e9</t>
  </si>
  <si>
    <t>ODYM_T6_P8_BlackmassExport</t>
  </si>
  <si>
    <t>Share of P8 going to blackmass export</t>
  </si>
  <si>
    <t>6213e899-8367-483a-8d09-a0c0831c2210</t>
  </si>
  <si>
    <t>ODYM_T6_P8_RecoveredNotForBattery</t>
  </si>
  <si>
    <t>Share of P8 going to other products</t>
  </si>
  <si>
    <t>6213e899-8367-483a-8d09-a0c0831c2211</t>
  </si>
  <si>
    <t>ODYM_T6_P8_RecycledExport</t>
  </si>
  <si>
    <t>Share of P8 going to recycled battery material for export</t>
  </si>
  <si>
    <t>6213e899-8367-483a-8d09-a0c0831c2212</t>
  </si>
  <si>
    <t>ODYM_T6_P8_RecycledDomesticProduction</t>
  </si>
  <si>
    <t>Share of P8 going to recycled battery material for domestic production</t>
  </si>
  <si>
    <t>6213e899-8367-483a-8d09-a0c0831c2213</t>
  </si>
  <si>
    <t xml:space="preserve"> </t>
  </si>
  <si>
    <t>Vehicle lifetime</t>
  </si>
  <si>
    <t>[1, 3, 6, 8, 9, 13, 15, 25, 26, 27, 28, 29]</t>
  </si>
  <si>
    <t>[0,1]</t>
  </si>
  <si>
    <t>ODYM_Tutorial6_LifetimeLIB</t>
  </si>
  <si>
    <t>ODYM_Tutorial6_SteelConsumptionLIB</t>
  </si>
  <si>
    <t>ODYM_Tutorial6_EoLRecoveryRateLIB</t>
  </si>
  <si>
    <t>ODYM_Tutorial6_FabricationYieldLossLIB</t>
  </si>
  <si>
    <t>ODYM_Tutorial6_RemeltingYieldLIB</t>
  </si>
  <si>
    <t>ODYM_Tutorial6_SectorSplitLIB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</si>
</sst>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0" fillId="4" borderId="0" xfId="0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opLeftCell="B1" workbookViewId="0">
      <selection activeCell="D5" sqref="D5"/>
    </sheetView>
  </sheetViews>
  <sheetFormatPr defaultColWidth="11.54296875" defaultRowHeight="14.5" x14ac:dyDescent="0.35"/>
  <cols>
    <col min="1" max="1" width="12.6328125" bestFit="1" customWidth="1"/>
    <col min="2" max="2" width="31" bestFit="1" customWidth="1"/>
    <col min="4" max="4" width="26.54296875" customWidth="1"/>
  </cols>
  <sheetData>
    <row r="1" spans="1:7" x14ac:dyDescent="0.35">
      <c r="B1" s="29" t="s">
        <v>37</v>
      </c>
      <c r="D1" s="16" t="s">
        <v>108</v>
      </c>
    </row>
    <row r="2" spans="1:7" x14ac:dyDescent="0.35">
      <c r="A2" s="6"/>
      <c r="B2" s="8" t="s">
        <v>38</v>
      </c>
      <c r="C2" s="3"/>
      <c r="D2" s="4" t="s">
        <v>109</v>
      </c>
    </row>
    <row r="3" spans="1:7" ht="15" thickBot="1" x14ac:dyDescent="0.4">
      <c r="A3" s="6"/>
      <c r="B3" s="8"/>
      <c r="C3" s="3"/>
    </row>
    <row r="4" spans="1:7" ht="15" thickBot="1" x14ac:dyDescent="0.4">
      <c r="A4" s="6"/>
      <c r="B4" s="9" t="s">
        <v>2</v>
      </c>
      <c r="C4" s="3"/>
      <c r="D4" s="5" t="s">
        <v>120</v>
      </c>
      <c r="G4" s="35"/>
    </row>
    <row r="5" spans="1:7" x14ac:dyDescent="0.35">
      <c r="A5" s="6"/>
      <c r="B5" s="9" t="s">
        <v>51</v>
      </c>
      <c r="C5" s="2"/>
      <c r="D5" t="str">
        <f>E5&amp;D4</f>
        <v>Setting_EVLIB</v>
      </c>
      <c r="E5" s="34" t="s">
        <v>52</v>
      </c>
    </row>
    <row r="6" spans="1:7" x14ac:dyDescent="0.35">
      <c r="A6" s="6"/>
      <c r="B6" s="9"/>
      <c r="C6" s="2"/>
    </row>
    <row r="7" spans="1:7" x14ac:dyDescent="0.35">
      <c r="A7" s="6"/>
      <c r="B7" s="9"/>
      <c r="C7" s="2"/>
    </row>
    <row r="8" spans="1:7" x14ac:dyDescent="0.35">
      <c r="A8" s="6"/>
      <c r="B8" s="9"/>
      <c r="C8" s="2"/>
    </row>
    <row r="9" spans="1:7" x14ac:dyDescent="0.35">
      <c r="A9" s="6"/>
      <c r="B9" s="11"/>
      <c r="C9" s="2"/>
    </row>
    <row r="10" spans="1:7" x14ac:dyDescent="0.35">
      <c r="A10" s="10"/>
      <c r="B10" s="12"/>
      <c r="C10" s="12"/>
      <c r="D10" s="12"/>
    </row>
    <row r="11" spans="1:7" x14ac:dyDescent="0.35">
      <c r="A11" s="10"/>
      <c r="B11" s="12"/>
      <c r="C11" s="14"/>
      <c r="D11" s="12"/>
    </row>
    <row r="12" spans="1:7" x14ac:dyDescent="0.35">
      <c r="A12" s="10"/>
      <c r="B12" s="12"/>
      <c r="C12" s="15"/>
      <c r="D12" s="12"/>
    </row>
    <row r="13" spans="1:7" x14ac:dyDescent="0.35">
      <c r="A13" s="10"/>
      <c r="B13" s="12"/>
      <c r="C13" s="12"/>
      <c r="D13" s="12"/>
    </row>
    <row r="14" spans="1:7" x14ac:dyDescent="0.35">
      <c r="A14" s="10"/>
      <c r="B14" s="12"/>
      <c r="C14" s="12"/>
      <c r="D14" s="12"/>
    </row>
    <row r="15" spans="1:7" x14ac:dyDescent="0.35">
      <c r="A15" s="10"/>
      <c r="B15" s="12"/>
      <c r="C15" s="12"/>
      <c r="D15" s="12"/>
    </row>
    <row r="16" spans="1:7" x14ac:dyDescent="0.35">
      <c r="A16" s="10"/>
      <c r="B16" s="12"/>
      <c r="C16" s="12"/>
      <c r="D16" s="12"/>
    </row>
    <row r="17" spans="1:4" x14ac:dyDescent="0.35">
      <c r="A17" s="10"/>
      <c r="B17" s="12"/>
      <c r="C17" s="12"/>
      <c r="D17" s="12"/>
    </row>
    <row r="18" spans="1:4" x14ac:dyDescent="0.35">
      <c r="A18" s="10"/>
      <c r="B18" s="12"/>
      <c r="C18" s="12"/>
      <c r="D18" s="12"/>
    </row>
    <row r="19" spans="1:4" x14ac:dyDescent="0.35">
      <c r="A19" s="10"/>
      <c r="B19" s="12"/>
      <c r="C19" s="12"/>
      <c r="D19" s="12"/>
    </row>
    <row r="20" spans="1:4" x14ac:dyDescent="0.35">
      <c r="A20" s="10"/>
      <c r="B20" s="12"/>
      <c r="C20" s="12"/>
      <c r="D20" s="12"/>
    </row>
    <row r="21" spans="1:4" x14ac:dyDescent="0.35">
      <c r="A21" s="10"/>
      <c r="B21" s="12"/>
      <c r="C21" s="12"/>
      <c r="D21" s="12"/>
    </row>
    <row r="22" spans="1:4" x14ac:dyDescent="0.35">
      <c r="A22" s="10"/>
      <c r="B22" s="12"/>
      <c r="C22" s="12"/>
      <c r="D22" s="12"/>
    </row>
    <row r="23" spans="1:4" x14ac:dyDescent="0.35">
      <c r="A23" s="10"/>
      <c r="B23" s="12"/>
      <c r="C23" s="12"/>
      <c r="D23" s="12"/>
    </row>
    <row r="24" spans="1:4" x14ac:dyDescent="0.35">
      <c r="A24" s="10"/>
      <c r="B24" s="12"/>
      <c r="C24" s="12"/>
      <c r="D24" s="12"/>
    </row>
    <row r="25" spans="1:4" x14ac:dyDescent="0.35">
      <c r="A25" s="6"/>
      <c r="B25" s="1"/>
      <c r="C25" s="2"/>
    </row>
    <row r="26" spans="1:4" x14ac:dyDescent="0.35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7"/>
  <sheetViews>
    <sheetView showGridLines="0" tabSelected="1" topLeftCell="A10" zoomScale="64" zoomScaleNormal="100" workbookViewId="0">
      <selection activeCell="G18" sqref="G18"/>
    </sheetView>
  </sheetViews>
  <sheetFormatPr defaultColWidth="11.54296875" defaultRowHeight="14.5" x14ac:dyDescent="0.35"/>
  <cols>
    <col min="2" max="2" width="4.90625" customWidth="1"/>
    <col min="3" max="3" width="34" customWidth="1"/>
    <col min="4" max="4" width="44.6328125" bestFit="1" customWidth="1"/>
    <col min="5" max="5" width="50.6328125" customWidth="1"/>
    <col min="6" max="6" width="24.90625" bestFit="1" customWidth="1"/>
    <col min="7" max="7" width="18.36328125" bestFit="1" customWidth="1"/>
    <col min="8" max="8" width="20.36328125" bestFit="1" customWidth="1"/>
    <col min="9" max="9" width="39" bestFit="1" customWidth="1"/>
  </cols>
  <sheetData>
    <row r="2" spans="2:10" x14ac:dyDescent="0.35">
      <c r="B2" s="18" t="s">
        <v>3</v>
      </c>
      <c r="C2" s="19"/>
      <c r="D2" s="19"/>
      <c r="E2" s="19"/>
      <c r="F2" s="19"/>
      <c r="G2" s="19"/>
      <c r="H2" s="20"/>
    </row>
    <row r="3" spans="2:10" x14ac:dyDescent="0.35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5">
      <c r="C4" t="s">
        <v>4</v>
      </c>
      <c r="D4" s="33" t="s">
        <v>121</v>
      </c>
    </row>
    <row r="5" spans="2:10" x14ac:dyDescent="0.35">
      <c r="C5" t="s">
        <v>0</v>
      </c>
      <c r="D5" s="33" t="s">
        <v>110</v>
      </c>
    </row>
    <row r="6" spans="2:10" x14ac:dyDescent="0.35">
      <c r="C6" t="s">
        <v>5</v>
      </c>
      <c r="D6" s="33" t="s">
        <v>122</v>
      </c>
    </row>
    <row r="7" spans="2:10" x14ac:dyDescent="0.35">
      <c r="D7" s="7"/>
      <c r="J7" s="13"/>
    </row>
    <row r="8" spans="2:10" x14ac:dyDescent="0.35">
      <c r="B8" s="18" t="s">
        <v>39</v>
      </c>
      <c r="C8" s="19"/>
      <c r="D8" s="19"/>
      <c r="E8" s="19"/>
      <c r="F8" s="19"/>
      <c r="G8" s="19"/>
      <c r="H8" s="20"/>
      <c r="J8" s="13"/>
    </row>
    <row r="9" spans="2:10" x14ac:dyDescent="0.35">
      <c r="C9" s="23" t="s">
        <v>27</v>
      </c>
      <c r="D9" s="32" t="s">
        <v>26</v>
      </c>
      <c r="E9" s="23" t="s">
        <v>55</v>
      </c>
      <c r="F9" s="30"/>
      <c r="G9" s="30"/>
      <c r="H9" s="30"/>
      <c r="J9" s="13"/>
    </row>
    <row r="10" spans="2:10" x14ac:dyDescent="0.35">
      <c r="C10" t="s">
        <v>6</v>
      </c>
      <c r="D10" s="33" t="s">
        <v>123</v>
      </c>
      <c r="J10" s="13"/>
    </row>
    <row r="11" spans="2:10" x14ac:dyDescent="0.35">
      <c r="C11" t="s">
        <v>56</v>
      </c>
      <c r="D11" s="33" t="s">
        <v>1</v>
      </c>
      <c r="J11" s="13"/>
    </row>
    <row r="12" spans="2:10" x14ac:dyDescent="0.35">
      <c r="C12" t="s">
        <v>57</v>
      </c>
      <c r="D12" s="33" t="s">
        <v>1</v>
      </c>
      <c r="J12" s="13"/>
    </row>
    <row r="13" spans="2:10" x14ac:dyDescent="0.35">
      <c r="J13" s="17"/>
    </row>
    <row r="14" spans="2:10" x14ac:dyDescent="0.35">
      <c r="B14" s="18" t="s">
        <v>49</v>
      </c>
      <c r="C14" s="19"/>
      <c r="D14" s="19" t="s">
        <v>50</v>
      </c>
      <c r="E14" s="19"/>
      <c r="F14" s="19"/>
      <c r="G14" s="19"/>
      <c r="H14" s="20"/>
    </row>
    <row r="15" spans="2:10" x14ac:dyDescent="0.35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62</v>
      </c>
      <c r="I15" s="16" t="s">
        <v>63</v>
      </c>
      <c r="J15" s="28" t="s">
        <v>89</v>
      </c>
    </row>
    <row r="16" spans="2:10" x14ac:dyDescent="0.35">
      <c r="C16" s="25" t="s">
        <v>11</v>
      </c>
      <c r="D16" t="s">
        <v>17</v>
      </c>
      <c r="E16" t="s">
        <v>11</v>
      </c>
      <c r="F16" t="s">
        <v>11</v>
      </c>
      <c r="G16" t="s">
        <v>111</v>
      </c>
      <c r="H16" s="21" t="s">
        <v>23</v>
      </c>
      <c r="I16" t="s">
        <v>64</v>
      </c>
    </row>
    <row r="17" spans="2:9" x14ac:dyDescent="0.35">
      <c r="C17" s="25" t="s">
        <v>71</v>
      </c>
      <c r="D17" t="s">
        <v>72</v>
      </c>
      <c r="E17" t="s">
        <v>11</v>
      </c>
      <c r="F17" t="s">
        <v>11</v>
      </c>
      <c r="G17" t="s">
        <v>111</v>
      </c>
      <c r="H17" s="21" t="s">
        <v>73</v>
      </c>
      <c r="I17" t="s">
        <v>74</v>
      </c>
    </row>
    <row r="18" spans="2:9" x14ac:dyDescent="0.35">
      <c r="C18" s="25" t="s">
        <v>15</v>
      </c>
      <c r="D18" t="s">
        <v>20</v>
      </c>
      <c r="E18" t="s">
        <v>15</v>
      </c>
      <c r="F18" t="s">
        <v>22</v>
      </c>
      <c r="G18" t="s">
        <v>151</v>
      </c>
      <c r="H18" s="21" t="s">
        <v>24</v>
      </c>
      <c r="I18" t="s">
        <v>65</v>
      </c>
    </row>
    <row r="19" spans="2:9" x14ac:dyDescent="0.35">
      <c r="C19" s="25" t="s">
        <v>16</v>
      </c>
      <c r="D19" t="s">
        <v>21</v>
      </c>
      <c r="E19" t="s">
        <v>16</v>
      </c>
      <c r="F19" t="s">
        <v>16</v>
      </c>
      <c r="G19" t="s">
        <v>83</v>
      </c>
      <c r="H19" s="21">
        <v>1</v>
      </c>
      <c r="I19" t="s">
        <v>67</v>
      </c>
    </row>
    <row r="20" spans="2:9" x14ac:dyDescent="0.35">
      <c r="C20" s="25" t="s">
        <v>77</v>
      </c>
      <c r="D20" t="s">
        <v>78</v>
      </c>
      <c r="E20" t="s">
        <v>77</v>
      </c>
      <c r="F20" t="s">
        <v>107</v>
      </c>
      <c r="G20" t="s">
        <v>31</v>
      </c>
      <c r="H20" s="21" t="s">
        <v>79</v>
      </c>
      <c r="I20" t="s">
        <v>80</v>
      </c>
    </row>
    <row r="21" spans="2:9" x14ac:dyDescent="0.35">
      <c r="C21" s="25" t="s">
        <v>59</v>
      </c>
      <c r="D21" t="s">
        <v>58</v>
      </c>
      <c r="E21" t="s">
        <v>13</v>
      </c>
      <c r="F21" t="s">
        <v>84</v>
      </c>
      <c r="G21" t="s">
        <v>152</v>
      </c>
      <c r="H21" s="21" t="s">
        <v>70</v>
      </c>
      <c r="I21" t="s">
        <v>68</v>
      </c>
    </row>
    <row r="22" spans="2:9" x14ac:dyDescent="0.35">
      <c r="C22" s="25" t="s">
        <v>12</v>
      </c>
      <c r="D22" t="s">
        <v>18</v>
      </c>
      <c r="E22" t="s">
        <v>13</v>
      </c>
      <c r="F22" t="s">
        <v>85</v>
      </c>
      <c r="G22" t="s">
        <v>152</v>
      </c>
      <c r="H22" s="21" t="s">
        <v>60</v>
      </c>
      <c r="I22" t="s">
        <v>66</v>
      </c>
    </row>
    <row r="23" spans="2:9" x14ac:dyDescent="0.35">
      <c r="C23" s="25" t="s">
        <v>14</v>
      </c>
      <c r="D23" t="s">
        <v>19</v>
      </c>
      <c r="E23" t="s">
        <v>13</v>
      </c>
      <c r="F23" t="s">
        <v>14</v>
      </c>
      <c r="G23" t="s">
        <v>152</v>
      </c>
      <c r="H23" s="21" t="s">
        <v>61</v>
      </c>
      <c r="I23" t="s">
        <v>69</v>
      </c>
    </row>
    <row r="24" spans="2:9" x14ac:dyDescent="0.35">
      <c r="C24" s="21" t="s">
        <v>86</v>
      </c>
      <c r="D24" t="s">
        <v>87</v>
      </c>
      <c r="E24" t="s">
        <v>86</v>
      </c>
      <c r="F24" t="s">
        <v>86</v>
      </c>
      <c r="G24" t="s">
        <v>152</v>
      </c>
      <c r="H24" s="21" t="s">
        <v>88</v>
      </c>
      <c r="I24" t="s">
        <v>86</v>
      </c>
    </row>
    <row r="25" spans="2:9" hidden="1" x14ac:dyDescent="0.35"/>
    <row r="26" spans="2:9" hidden="1" x14ac:dyDescent="0.35">
      <c r="B26" s="18" t="s">
        <v>45</v>
      </c>
      <c r="C26" s="19"/>
      <c r="D26" s="19"/>
      <c r="E26" s="19"/>
      <c r="F26" s="19"/>
      <c r="G26" s="19"/>
      <c r="H26" s="20"/>
    </row>
    <row r="27" spans="2:9" hidden="1" x14ac:dyDescent="0.35">
      <c r="C27" s="26" t="s">
        <v>46</v>
      </c>
      <c r="D27" s="23" t="s">
        <v>47</v>
      </c>
      <c r="E27" s="23" t="s">
        <v>32</v>
      </c>
      <c r="F27" s="23" t="s">
        <v>33</v>
      </c>
      <c r="G27" s="30"/>
      <c r="H27" s="30"/>
    </row>
    <row r="28" spans="2:9" hidden="1" x14ac:dyDescent="0.35">
      <c r="C28" s="31">
        <v>0</v>
      </c>
      <c r="D28" t="s">
        <v>82</v>
      </c>
      <c r="E28" t="s">
        <v>82</v>
      </c>
      <c r="F28" t="s">
        <v>118</v>
      </c>
    </row>
    <row r="29" spans="2:9" hidden="1" x14ac:dyDescent="0.35">
      <c r="C29" s="31">
        <v>1</v>
      </c>
      <c r="D29" t="s">
        <v>124</v>
      </c>
      <c r="E29" t="s">
        <v>53</v>
      </c>
    </row>
    <row r="30" spans="2:9" hidden="1" x14ac:dyDescent="0.35">
      <c r="C30" s="27">
        <v>2</v>
      </c>
      <c r="D30" t="s">
        <v>112</v>
      </c>
      <c r="E30" t="s">
        <v>53</v>
      </c>
    </row>
    <row r="31" spans="2:9" hidden="1" x14ac:dyDescent="0.35">
      <c r="C31" s="27">
        <v>3</v>
      </c>
      <c r="D31" t="s">
        <v>113</v>
      </c>
      <c r="E31" t="s">
        <v>54</v>
      </c>
    </row>
    <row r="32" spans="2:9" hidden="1" x14ac:dyDescent="0.35">
      <c r="C32" s="31">
        <v>4</v>
      </c>
      <c r="D32" t="s">
        <v>34</v>
      </c>
      <c r="E32" t="s">
        <v>53</v>
      </c>
    </row>
    <row r="33" spans="2:9" hidden="1" x14ac:dyDescent="0.35">
      <c r="C33" s="27">
        <v>5</v>
      </c>
      <c r="D33" t="s">
        <v>114</v>
      </c>
      <c r="E33" t="s">
        <v>54</v>
      </c>
      <c r="F33" t="s">
        <v>119</v>
      </c>
    </row>
    <row r="34" spans="2:9" hidden="1" x14ac:dyDescent="0.35">
      <c r="C34" s="31">
        <v>6</v>
      </c>
      <c r="D34" t="s">
        <v>115</v>
      </c>
      <c r="E34" t="s">
        <v>53</v>
      </c>
    </row>
    <row r="35" spans="2:9" hidden="1" x14ac:dyDescent="0.35">
      <c r="C35" s="27">
        <v>7</v>
      </c>
      <c r="D35" t="s">
        <v>116</v>
      </c>
      <c r="E35" t="s">
        <v>53</v>
      </c>
    </row>
    <row r="36" spans="2:9" hidden="1" x14ac:dyDescent="0.35">
      <c r="C36" s="31">
        <v>8</v>
      </c>
      <c r="D36" t="s">
        <v>117</v>
      </c>
      <c r="E36" t="s">
        <v>53</v>
      </c>
    </row>
    <row r="37" spans="2:9" hidden="1" x14ac:dyDescent="0.35"/>
    <row r="38" spans="2:9" hidden="1" x14ac:dyDescent="0.35">
      <c r="B38" s="18" t="s">
        <v>25</v>
      </c>
      <c r="C38" s="19"/>
      <c r="D38" s="19"/>
      <c r="E38" s="19"/>
      <c r="F38" s="19"/>
      <c r="G38" s="19"/>
      <c r="H38" s="20"/>
    </row>
    <row r="39" spans="2:9" x14ac:dyDescent="0.35">
      <c r="C39" s="26" t="s">
        <v>28</v>
      </c>
      <c r="D39" s="23" t="s">
        <v>0</v>
      </c>
      <c r="E39" s="23" t="s">
        <v>90</v>
      </c>
      <c r="F39" s="23" t="s">
        <v>29</v>
      </c>
      <c r="G39" s="23" t="s">
        <v>36</v>
      </c>
      <c r="H39" s="23" t="s">
        <v>30</v>
      </c>
      <c r="I39" s="36" t="s">
        <v>75</v>
      </c>
    </row>
    <row r="40" spans="2:9" x14ac:dyDescent="0.35">
      <c r="C40" t="s">
        <v>153</v>
      </c>
      <c r="D40" s="38" t="s">
        <v>150</v>
      </c>
      <c r="E40" t="s">
        <v>91</v>
      </c>
      <c r="F40" t="s">
        <v>60</v>
      </c>
      <c r="G40" t="s">
        <v>31</v>
      </c>
      <c r="H40" t="s">
        <v>31</v>
      </c>
      <c r="I40" t="s">
        <v>92</v>
      </c>
    </row>
    <row r="41" spans="2:9" x14ac:dyDescent="0.35">
      <c r="C41" s="27" t="s">
        <v>154</v>
      </c>
      <c r="D41" t="s">
        <v>95</v>
      </c>
      <c r="E41" t="s">
        <v>91</v>
      </c>
      <c r="F41" t="s">
        <v>98</v>
      </c>
      <c r="G41" t="s">
        <v>76</v>
      </c>
      <c r="H41" t="s">
        <v>31</v>
      </c>
      <c r="I41" t="s">
        <v>93</v>
      </c>
    </row>
    <row r="42" spans="2:9" x14ac:dyDescent="0.35">
      <c r="C42" s="27" t="s">
        <v>155</v>
      </c>
      <c r="D42" t="s">
        <v>96</v>
      </c>
      <c r="E42" t="s">
        <v>91</v>
      </c>
      <c r="F42" t="s">
        <v>97</v>
      </c>
      <c r="G42" t="s">
        <v>76</v>
      </c>
      <c r="H42" t="s">
        <v>31</v>
      </c>
      <c r="I42" s="37" t="s">
        <v>94</v>
      </c>
    </row>
    <row r="43" spans="2:9" x14ac:dyDescent="0.35">
      <c r="C43" s="27" t="s">
        <v>156</v>
      </c>
      <c r="D43" t="s">
        <v>100</v>
      </c>
      <c r="E43" t="s">
        <v>91</v>
      </c>
      <c r="F43" t="s">
        <v>97</v>
      </c>
      <c r="G43" t="s">
        <v>76</v>
      </c>
      <c r="H43" t="s">
        <v>31</v>
      </c>
      <c r="I43" s="37" t="s">
        <v>99</v>
      </c>
    </row>
    <row r="44" spans="2:9" x14ac:dyDescent="0.35">
      <c r="C44" s="27" t="s">
        <v>157</v>
      </c>
      <c r="D44" t="s">
        <v>103</v>
      </c>
      <c r="E44" t="s">
        <v>91</v>
      </c>
      <c r="F44" t="s">
        <v>102</v>
      </c>
      <c r="G44" t="s">
        <v>81</v>
      </c>
      <c r="H44" t="s">
        <v>31</v>
      </c>
      <c r="I44" s="37" t="s">
        <v>101</v>
      </c>
    </row>
    <row r="45" spans="2:9" x14ac:dyDescent="0.35">
      <c r="C45" s="27" t="s">
        <v>158</v>
      </c>
      <c r="E45" t="s">
        <v>91</v>
      </c>
      <c r="F45" t="s">
        <v>105</v>
      </c>
      <c r="G45" t="s">
        <v>81</v>
      </c>
      <c r="H45" t="s">
        <v>31</v>
      </c>
      <c r="I45" s="37" t="s">
        <v>104</v>
      </c>
    </row>
    <row r="46" spans="2:9" x14ac:dyDescent="0.35">
      <c r="C46" s="27" t="s">
        <v>125</v>
      </c>
      <c r="D46" t="s">
        <v>126</v>
      </c>
      <c r="E46" t="s">
        <v>91</v>
      </c>
      <c r="F46" s="39" t="s">
        <v>97</v>
      </c>
      <c r="G46" s="39" t="s">
        <v>76</v>
      </c>
      <c r="H46" t="s">
        <v>31</v>
      </c>
      <c r="I46" s="40" t="s">
        <v>127</v>
      </c>
    </row>
    <row r="47" spans="2:9" x14ac:dyDescent="0.35">
      <c r="C47" s="27" t="s">
        <v>128</v>
      </c>
      <c r="D47" t="s">
        <v>129</v>
      </c>
      <c r="E47" t="s">
        <v>91</v>
      </c>
      <c r="F47" s="39" t="s">
        <v>97</v>
      </c>
      <c r="G47" s="39" t="s">
        <v>76</v>
      </c>
      <c r="H47" t="s">
        <v>31</v>
      </c>
      <c r="I47" s="40" t="s">
        <v>130</v>
      </c>
    </row>
    <row r="48" spans="2:9" x14ac:dyDescent="0.35">
      <c r="C48" s="27" t="s">
        <v>131</v>
      </c>
      <c r="D48" t="s">
        <v>132</v>
      </c>
      <c r="E48" t="s">
        <v>91</v>
      </c>
      <c r="F48" s="39" t="s">
        <v>97</v>
      </c>
      <c r="G48" s="39" t="s">
        <v>76</v>
      </c>
      <c r="H48" t="s">
        <v>31</v>
      </c>
      <c r="I48" s="40" t="s">
        <v>133</v>
      </c>
    </row>
    <row r="49" spans="2:9" x14ac:dyDescent="0.35">
      <c r="C49" s="27" t="s">
        <v>134</v>
      </c>
      <c r="D49" t="s">
        <v>135</v>
      </c>
      <c r="E49" t="s">
        <v>91</v>
      </c>
      <c r="F49" s="39" t="s">
        <v>97</v>
      </c>
      <c r="G49" s="39" t="s">
        <v>76</v>
      </c>
      <c r="H49" t="s">
        <v>31</v>
      </c>
      <c r="I49" s="40" t="s">
        <v>136</v>
      </c>
    </row>
    <row r="50" spans="2:9" x14ac:dyDescent="0.35">
      <c r="C50" s="27" t="s">
        <v>137</v>
      </c>
      <c r="D50" t="s">
        <v>138</v>
      </c>
      <c r="E50" t="s">
        <v>91</v>
      </c>
      <c r="F50" s="39" t="s">
        <v>97</v>
      </c>
      <c r="G50" s="39" t="s">
        <v>76</v>
      </c>
      <c r="H50" t="s">
        <v>31</v>
      </c>
      <c r="I50" s="40" t="s">
        <v>139</v>
      </c>
    </row>
    <row r="51" spans="2:9" x14ac:dyDescent="0.35">
      <c r="C51" s="27" t="s">
        <v>140</v>
      </c>
      <c r="D51" t="s">
        <v>141</v>
      </c>
      <c r="E51" t="s">
        <v>91</v>
      </c>
      <c r="F51" s="39" t="s">
        <v>97</v>
      </c>
      <c r="G51" s="39" t="s">
        <v>76</v>
      </c>
      <c r="H51" t="s">
        <v>31</v>
      </c>
      <c r="I51" s="40" t="s">
        <v>142</v>
      </c>
    </row>
    <row r="52" spans="2:9" x14ac:dyDescent="0.35">
      <c r="C52" s="27" t="s">
        <v>143</v>
      </c>
      <c r="D52" t="s">
        <v>144</v>
      </c>
      <c r="E52" t="s">
        <v>91</v>
      </c>
      <c r="F52" s="39" t="s">
        <v>97</v>
      </c>
      <c r="G52" s="39" t="s">
        <v>76</v>
      </c>
      <c r="H52" t="s">
        <v>31</v>
      </c>
      <c r="I52" s="40" t="s">
        <v>145</v>
      </c>
    </row>
    <row r="53" spans="2:9" x14ac:dyDescent="0.35">
      <c r="C53" s="27" t="s">
        <v>146</v>
      </c>
      <c r="D53" t="s">
        <v>147</v>
      </c>
      <c r="E53" t="s">
        <v>91</v>
      </c>
      <c r="F53" s="39" t="s">
        <v>97</v>
      </c>
      <c r="G53" s="39" t="s">
        <v>76</v>
      </c>
      <c r="H53" t="s">
        <v>31</v>
      </c>
      <c r="I53" s="40" t="s">
        <v>148</v>
      </c>
    </row>
    <row r="54" spans="2:9" x14ac:dyDescent="0.35">
      <c r="C54" s="27"/>
    </row>
    <row r="55" spans="2:9" x14ac:dyDescent="0.35">
      <c r="B55" s="18" t="s">
        <v>40</v>
      </c>
      <c r="C55" s="19"/>
      <c r="D55" s="19"/>
      <c r="E55" s="19"/>
      <c r="F55" s="19"/>
      <c r="G55" s="19"/>
      <c r="H55" s="20"/>
    </row>
    <row r="56" spans="2:9" x14ac:dyDescent="0.35">
      <c r="C56" t="s">
        <v>41</v>
      </c>
    </row>
    <row r="57" spans="2:9" x14ac:dyDescent="0.35">
      <c r="C57" s="27" t="s">
        <v>42</v>
      </c>
      <c r="D57" s="33" t="s">
        <v>43</v>
      </c>
      <c r="E57" t="s">
        <v>44</v>
      </c>
    </row>
    <row r="58" spans="2:9" x14ac:dyDescent="0.35">
      <c r="D58" s="33"/>
    </row>
    <row r="59" spans="2:9" x14ac:dyDescent="0.35">
      <c r="D59" s="33" t="s">
        <v>149</v>
      </c>
    </row>
    <row r="60" spans="2:9" x14ac:dyDescent="0.35">
      <c r="D60" s="33"/>
    </row>
    <row r="61" spans="2:9" x14ac:dyDescent="0.35">
      <c r="D61" s="33"/>
    </row>
    <row r="62" spans="2:9" x14ac:dyDescent="0.35">
      <c r="D62" s="33"/>
    </row>
    <row r="64" spans="2:9" x14ac:dyDescent="0.35">
      <c r="B64" s="18" t="s">
        <v>48</v>
      </c>
      <c r="C64" s="19"/>
      <c r="D64" s="19"/>
      <c r="E64" s="19"/>
      <c r="F64" s="19"/>
      <c r="G64" s="19"/>
      <c r="H64" s="20"/>
    </row>
    <row r="65" spans="2:8" x14ac:dyDescent="0.35">
      <c r="C65" t="s">
        <v>35</v>
      </c>
    </row>
    <row r="67" spans="2:8" x14ac:dyDescent="0.35">
      <c r="B67" s="18" t="s">
        <v>106</v>
      </c>
      <c r="C67" s="19"/>
      <c r="D67" s="19"/>
      <c r="E67" s="19"/>
      <c r="F67" s="19"/>
      <c r="G67" s="19"/>
      <c r="H67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Setting_EVLIB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Elizabeth Lanphear</cp:lastModifiedBy>
  <cp:revision>31</cp:revision>
  <dcterms:created xsi:type="dcterms:W3CDTF">2013-10-21T19:20:02Z</dcterms:created>
  <dcterms:modified xsi:type="dcterms:W3CDTF">2025-06-11T18:45:32Z</dcterms:modified>
  <dc:language>de-DE</dc:language>
</cp:coreProperties>
</file>