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AE8E2371-FDC6-42D9-9B7F-FAA9DA47EC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<sst xmlns="http://schemas.openxmlformats.org/spreadsheetml/2006/main" count="187" uniqueCount="111">
  <si>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</si>
  <si>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</si>
  <si>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</si>
  <si>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</si>
  <si>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</si>
  <si>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</si>
  <si>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</si>
  <si>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</si>
  <si>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</si>
  <si>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</si>
  <si>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</si>
  <si>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</si>
  <si>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</si>
  <si>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</si>
  <si>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</si>
  <si>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</si>
  <si>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</si>
  <si>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</si>
  <si>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</si>
  <si>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</si>
  <si>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</si>
  <si>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</si>
  <si>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</si>
  <si>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</si>
  <si>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</si>
  <si>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</si>
  <si>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</si>
  <si>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</si>
  <si>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</si>
  <si>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</si>
  <si>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</si>
  <si>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</si>
  <si>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</si>
  <si>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</si>
  <si>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</si>
  <si>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</si>
  <si>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</si>
  <si>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</si>
  <si>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</si>
  <si>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</si>
  <si>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</si>
  <si>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</si>
  <si>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</si>
  <si>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</si>
  <si>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</si>
  <si>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</si>
  <si>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</si>
  <si>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</si>
  <si>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</si>
  <si>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</si>
  <si>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</si>
  <si>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</si>
  <si>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</si>
  <si>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</si>
  <si>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</si>
  <si>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</si>
  <si>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Steel shred</t>
  </si>
  <si>
    <t>ODYM_Classifications_Master_Tutorial6_MaTrace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</si>
  <si>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</si>
  <si>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</si>
  <si>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</si>
  <si>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</si>
  <si>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</si>
  <si>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</si>
  <si>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</si>
  <si>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</si>
  <si>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</si>
  <si>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</si>
  <si>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</si>
  <si>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</si>
  <si>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</si>
  <si>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</si>
  <si>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</si>
  <si>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</si>
  <si>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</si>
  <si>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</si>
  <si>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</si>
  <si>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</si>
  <si>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</si>
  <si>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</si>
  <si>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</si>
  <si>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</si>
  <si>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</si>
  <si>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</si>
  <si>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</si>
  <si>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</si>
  <si>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</si>
  <si>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</si>
  <si>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</si>
  <si>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</si>
  <si>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</si>
  <si>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</si>
  <si>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</si>
  <si>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</si>
  <si>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</si>
  <si>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</si>
  <si>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</si>
  <si>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</si>
  <si>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</si>
  <si>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</si>
  <si>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</si>
  <si>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</si>
  <si>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</si>
  <si>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</si>
  <si>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</si>
  <si>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V.02</t>
  </si>
  <si>
    <t>Recycling</t>
  </si>
  <si>
    <t>Made up; blackmass, recovered not for battery, recycled export, and recycled domestic product all .25</t>
  </si>
  <si>
    <t>6213e899-8367-483a-8d09-a0c0831c2212</t>
  </si>
  <si>
    <t>ODYM_T6_P8_RecycledDomesticProduction</t>
  </si>
  <si>
    <t>Share of P8 recycled material going to domestic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</si>
</sst>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5" sqref="B5"/>
    </sheetView>
  </sheetViews>
  <sheetFormatPr defaultColWidth="11.5546875" defaultRowHeight="14.4" x14ac:dyDescent="0.3"/>
  <cols>
    <col min="1" max="1" width="34.44140625" bestFit="1" customWidth="1"/>
    <col min="2" max="2" width="20.886718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105</v>
      </c>
      <c r="E2" s="1" t="s">
        <v>16</v>
      </c>
      <c r="H2" s="7" t="s">
        <v>17</v>
      </c>
    </row>
    <row r="3" spans="1:8" x14ac:dyDescent="0.3">
      <c r="A3" s="6" t="s">
        <v>18</v>
      </c>
      <c r="B3" s="16" t="s">
        <v>109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110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">
      <c r="A8" s="2" t="s">
        <v>22</v>
      </c>
      <c r="B8" t="s">
        <v>106</v>
      </c>
      <c r="E8" s="1" t="s">
        <v>16</v>
      </c>
      <c r="H8" t="s">
        <v>23</v>
      </c>
    </row>
    <row r="9" spans="1:8" x14ac:dyDescent="0.3">
      <c r="A9" s="2" t="s">
        <v>24</v>
      </c>
      <c r="B9" s="16" t="s">
        <v>109</v>
      </c>
      <c r="E9" s="1" t="s">
        <v>16</v>
      </c>
      <c r="H9" t="s">
        <v>44</v>
      </c>
    </row>
    <row r="10" spans="1:8" x14ac:dyDescent="0.3">
      <c r="A10" s="6" t="s">
        <v>25</v>
      </c>
      <c r="B10" s="12" t="s">
        <v>108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57</v>
      </c>
      <c r="E15" s="1" t="s">
        <v>16</v>
      </c>
      <c r="H15" t="s">
        <v>37</v>
      </c>
    </row>
    <row r="16" spans="1:8" x14ac:dyDescent="0.3">
      <c r="A16" s="2" t="s">
        <v>45</v>
      </c>
      <c r="E16" s="1"/>
    </row>
    <row r="17" spans="1:8" x14ac:dyDescent="0.3">
      <c r="A17" s="2" t="s">
        <v>45</v>
      </c>
      <c r="E17" s="1"/>
    </row>
    <row r="18" spans="1:8" x14ac:dyDescent="0.3">
      <c r="A18" s="2" t="s">
        <v>45</v>
      </c>
      <c r="E18" s="1"/>
    </row>
    <row r="19" spans="1:8" x14ac:dyDescent="0.3">
      <c r="A19" s="2" t="s">
        <v>45</v>
      </c>
      <c r="E19" s="1"/>
    </row>
    <row r="20" spans="1:8" x14ac:dyDescent="0.3">
      <c r="A20" s="2" t="s">
        <v>45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60</v>
      </c>
      <c r="B23" t="s">
        <v>70</v>
      </c>
      <c r="C23" s="8" t="s">
        <v>11</v>
      </c>
      <c r="D23" t="s">
        <v>67</v>
      </c>
      <c r="E23" s="1" t="s">
        <v>16</v>
      </c>
      <c r="H23" t="s">
        <v>47</v>
      </c>
    </row>
    <row r="24" spans="1:8" x14ac:dyDescent="0.3">
      <c r="A24" s="8" t="s">
        <v>71</v>
      </c>
      <c r="B24" t="s">
        <v>72</v>
      </c>
      <c r="C24" s="8" t="s">
        <v>12</v>
      </c>
      <c r="D24" t="s">
        <v>68</v>
      </c>
      <c r="E24" s="1" t="s">
        <v>16</v>
      </c>
      <c r="H24" s="3" t="s">
        <v>48</v>
      </c>
    </row>
    <row r="25" spans="1:8" x14ac:dyDescent="0.3">
      <c r="A25" s="8" t="s">
        <v>73</v>
      </c>
      <c r="B25" t="s">
        <v>74</v>
      </c>
      <c r="C25" s="8" t="s">
        <v>13</v>
      </c>
      <c r="D25" t="s">
        <v>69</v>
      </c>
      <c r="E25" s="1" t="s">
        <v>16</v>
      </c>
      <c r="H25" s="3" t="s">
        <v>50</v>
      </c>
    </row>
    <row r="26" spans="1:8" x14ac:dyDescent="0.3">
      <c r="A26" s="8" t="s">
        <v>75</v>
      </c>
      <c r="B26" t="s">
        <v>76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">
      <c r="C27" s="8" t="s">
        <v>15</v>
      </c>
      <c r="D27" t="s">
        <v>51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I2" sqref="I2:I9"/>
    </sheetView>
  </sheetViews>
  <sheetFormatPr defaultColWidth="11.5546875" defaultRowHeight="14.4" x14ac:dyDescent="0.3"/>
  <cols>
    <col min="2" max="2" width="23.33203125" customWidth="1"/>
    <col min="3" max="3" width="19.5546875" customWidth="1"/>
    <col min="4" max="4" width="24.88671875" customWidth="1"/>
    <col min="5" max="5" width="15.44140625" bestFit="1" customWidth="1"/>
    <col min="6" max="7" width="17.6640625" bestFit="1" customWidth="1"/>
    <col min="8" max="8" width="30.109375" bestFit="1" customWidth="1"/>
    <col min="9" max="9" width="11.33203125" customWidth="1"/>
    <col min="10" max="10" width="13.88671875" bestFit="1" customWidth="1"/>
    <col min="11" max="11" width="12" bestFit="1" customWidth="1"/>
    <col min="12" max="12" width="15.77734375" bestFit="1" customWidth="1"/>
  </cols>
  <sheetData>
    <row r="1" spans="1:9" x14ac:dyDescent="0.3">
      <c r="A1" s="2" t="s">
        <v>60</v>
      </c>
      <c r="B1" s="2" t="s">
        <v>71</v>
      </c>
      <c r="C1" s="2" t="s">
        <v>73</v>
      </c>
      <c r="D1" s="2" t="s">
        <v>75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">
      <c r="A2" t="s">
        <v>58</v>
      </c>
      <c r="B2" t="s">
        <v>61</v>
      </c>
      <c r="C2" t="s">
        <v>55</v>
      </c>
      <c r="D2" s="1" t="s">
        <v>56</v>
      </c>
      <c r="E2">
        <v>0.25</v>
      </c>
      <c r="F2">
        <v>1</v>
      </c>
      <c r="G2">
        <v>1</v>
      </c>
      <c r="H2" t="s">
        <v>54</v>
      </c>
      <c r="I2" t="s">
        <v>107</v>
      </c>
    </row>
    <row r="3" spans="1:9" x14ac:dyDescent="0.3">
      <c r="A3" t="s">
        <v>58</v>
      </c>
      <c r="B3" t="s">
        <v>62</v>
      </c>
      <c r="C3" t="s">
        <v>65</v>
      </c>
      <c r="D3" s="1" t="s">
        <v>66</v>
      </c>
      <c r="E3">
        <v>0.25</v>
      </c>
      <c r="F3">
        <v>1</v>
      </c>
      <c r="G3">
        <v>1</v>
      </c>
      <c r="H3" t="s">
        <v>54</v>
      </c>
      <c r="I3" t="s">
        <v>107</v>
      </c>
    </row>
    <row r="4" spans="1:9" x14ac:dyDescent="0.3">
      <c r="A4" t="s">
        <v>58</v>
      </c>
      <c r="B4" t="s">
        <v>63</v>
      </c>
      <c r="C4" t="s">
        <v>65</v>
      </c>
      <c r="D4" s="1" t="s">
        <v>66</v>
      </c>
      <c r="E4">
        <v>0.25</v>
      </c>
      <c r="F4">
        <v>1</v>
      </c>
      <c r="G4">
        <v>1</v>
      </c>
      <c r="H4" t="s">
        <v>54</v>
      </c>
      <c r="I4" t="s">
        <v>107</v>
      </c>
    </row>
    <row r="5" spans="1:9" x14ac:dyDescent="0.3">
      <c r="A5" t="s">
        <v>58</v>
      </c>
      <c r="B5" t="s">
        <v>64</v>
      </c>
      <c r="C5" t="s">
        <v>55</v>
      </c>
      <c r="D5" s="1" t="s">
        <v>56</v>
      </c>
      <c r="E5">
        <v>0.25</v>
      </c>
      <c r="F5">
        <v>1</v>
      </c>
      <c r="G5">
        <v>1</v>
      </c>
      <c r="H5" t="s">
        <v>54</v>
      </c>
      <c r="I5" t="s">
        <v>107</v>
      </c>
    </row>
    <row r="6" spans="1:9" x14ac:dyDescent="0.3">
      <c r="A6" t="s">
        <v>59</v>
      </c>
      <c r="B6" t="s">
        <v>61</v>
      </c>
      <c r="C6" t="s">
        <v>55</v>
      </c>
      <c r="D6" s="1" t="s">
        <v>56</v>
      </c>
      <c r="E6">
        <v>0.25</v>
      </c>
      <c r="F6">
        <v>1</v>
      </c>
      <c r="G6">
        <v>1</v>
      </c>
      <c r="H6" t="s">
        <v>54</v>
      </c>
      <c r="I6" t="s">
        <v>107</v>
      </c>
    </row>
    <row r="7" spans="1:9" x14ac:dyDescent="0.3">
      <c r="A7" t="s">
        <v>59</v>
      </c>
      <c r="B7" t="s">
        <v>62</v>
      </c>
      <c r="C7" t="s">
        <v>65</v>
      </c>
      <c r="D7" s="1" t="s">
        <v>66</v>
      </c>
      <c r="E7">
        <v>0.25</v>
      </c>
      <c r="F7">
        <v>1</v>
      </c>
      <c r="G7">
        <v>1</v>
      </c>
      <c r="H7" t="s">
        <v>54</v>
      </c>
      <c r="I7" t="s">
        <v>107</v>
      </c>
    </row>
    <row r="8" spans="1:9" x14ac:dyDescent="0.3">
      <c r="A8" t="s">
        <v>59</v>
      </c>
      <c r="B8" t="s">
        <v>63</v>
      </c>
      <c r="C8" t="s">
        <v>65</v>
      </c>
      <c r="D8" s="1" t="s">
        <v>66</v>
      </c>
      <c r="E8">
        <v>0.25</v>
      </c>
      <c r="F8">
        <v>1</v>
      </c>
      <c r="G8">
        <v>1</v>
      </c>
      <c r="H8" t="s">
        <v>54</v>
      </c>
      <c r="I8" t="s">
        <v>107</v>
      </c>
    </row>
    <row r="9" spans="1:9" x14ac:dyDescent="0.3">
      <c r="A9" t="s">
        <v>59</v>
      </c>
      <c r="B9" t="s">
        <v>64</v>
      </c>
      <c r="C9" t="s">
        <v>55</v>
      </c>
      <c r="D9" s="1" t="s">
        <v>56</v>
      </c>
      <c r="E9">
        <v>0.25</v>
      </c>
      <c r="F9">
        <v>1</v>
      </c>
      <c r="G9">
        <v>1</v>
      </c>
      <c r="H9" t="s">
        <v>54</v>
      </c>
      <c r="I9" t="s">
        <v>107</v>
      </c>
    </row>
    <row r="10" spans="1:9" x14ac:dyDescent="0.3">
      <c r="D10" s="1"/>
      <c r="I10" t="s">
        <v>16</v>
      </c>
    </row>
    <row r="35" spans="6:6" x14ac:dyDescent="0.3">
      <c r="F35" s="1"/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1.5546875" defaultRowHeight="14.4" x14ac:dyDescent="0.3"/>
  <cols>
    <col min="6" max="6" width="44.109375" customWidth="1"/>
  </cols>
  <sheetData>
    <row r="2" spans="2:13" x14ac:dyDescent="0.3"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</row>
    <row r="3" spans="2:13" x14ac:dyDescent="0.3">
      <c r="B3" s="13">
        <v>43344</v>
      </c>
      <c r="D3" s="14" t="s">
        <v>53</v>
      </c>
      <c r="E3" s="15"/>
      <c r="F3" s="12" t="str">
        <f>Cover!B10</f>
        <v>6213e899-8367-483a-8d09-a0c0831c2212</v>
      </c>
      <c r="G3" t="s">
        <v>89</v>
      </c>
      <c r="H3" t="s">
        <v>90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1.5546875" defaultRowHeight="14.4" x14ac:dyDescent="0.3"/>
  <cols>
    <col min="2" max="2" width="37" customWidth="1"/>
  </cols>
  <sheetData>
    <row r="2" spans="2:16" x14ac:dyDescent="0.3">
      <c r="B2" s="2" t="s">
        <v>91</v>
      </c>
      <c r="C2" s="2" t="s">
        <v>92</v>
      </c>
      <c r="D2" s="2" t="s">
        <v>93</v>
      </c>
      <c r="E2" s="2" t="s">
        <v>94</v>
      </c>
      <c r="F2" s="2"/>
      <c r="G2" s="2" t="s">
        <v>95</v>
      </c>
      <c r="H2" s="2" t="s">
        <v>96</v>
      </c>
      <c r="I2" s="2" t="s">
        <v>97</v>
      </c>
      <c r="J2" s="2" t="s">
        <v>98</v>
      </c>
      <c r="K2" s="2" t="s">
        <v>99</v>
      </c>
      <c r="L2" s="2" t="s">
        <v>100</v>
      </c>
      <c r="M2" s="2" t="s">
        <v>101</v>
      </c>
      <c r="N2" s="2" t="s">
        <v>102</v>
      </c>
      <c r="O2" s="2" t="s">
        <v>103</v>
      </c>
      <c r="P2" s="2" t="s">
        <v>104</v>
      </c>
    </row>
    <row r="3" spans="2:16" x14ac:dyDescent="0.3">
      <c r="B3" s="16" t="str">
        <f>Cover!B3</f>
        <v>ODYM_T6_P8_RecycledDomesticProduction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2025-05-30T02:29:13Z</dcterms:modified>
</cp:coreProperties>
</file>