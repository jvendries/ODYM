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filterPrivacy="1" defaultThemeVersion="124226"/>
  <xr:revisionPtr revIDLastSave="0" documentId="13_ncr:1_{B11B319C-E833-473A-9850-73CE46D738AD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</calcChain>
</file>

<file path=xl/sharedStrings.xml><?xml version="1.0" encoding="utf-8"?>
<sst xmlns="http://schemas.openxmlformats.org/spreadsheetml/2006/main" count="188" uniqueCount="117">
  <si>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</si>
  <si>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</si>
  <si>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</si>
  <si>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</si>
  <si>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</si>
  <si>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</si>
  <si>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</si>
  <si>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</si>
  <si>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</si>
  <si>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</si>
  <si>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</si>
  <si>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</si>
  <si>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</si>
  <si>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</si>
  <si>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</si>
  <si>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</si>
  <si>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</si>
  <si>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</si>
  <si>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</si>
  <si>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</si>
  <si>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</si>
  <si>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</si>
  <si>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</si>
  <si>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</si>
  <si>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</si>
  <si>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</si>
  <si>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</si>
  <si>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</si>
  <si>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</si>
  <si>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</si>
  <si>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</si>
  <si>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</si>
  <si>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</si>
  <si>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</si>
  <si>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</si>
  <si>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</si>
  <si>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</si>
  <si>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</si>
  <si>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</si>
  <si>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</si>
  <si>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</si>
  <si>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</si>
  <si>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</si>
  <si>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</si>
  <si>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</si>
  <si>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</si>
  <si>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</si>
  <si>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</si>
  <si>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</si>
  <si>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</si>
  <si>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</si>
  <si>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</si>
  <si>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</si>
  <si>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</si>
  <si>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</si>
  <si>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Automotive steel</t>
  </si>
  <si>
    <t>Steel shred</t>
  </si>
  <si>
    <t>ODYM_Classifications_Master_Tutorial6_MaTrace</t>
  </si>
  <si>
    <t>BAU</t>
  </si>
  <si>
    <t>Efficient</t>
  </si>
  <si>
    <t>Scenario</t>
  </si>
  <si>
    <t>vehicles</t>
  </si>
  <si>
    <t>machinery</t>
  </si>
  <si>
    <t>construction</t>
  </si>
  <si>
    <t>products and other</t>
  </si>
  <si>
    <t>Construction grade steel</t>
  </si>
  <si>
    <t>Heavy melt, plate, and structural steel scrap</t>
  </si>
  <si>
    <t>Recovery rate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</si>
  <si>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</si>
  <si>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</si>
  <si>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</si>
  <si>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</si>
  <si>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</si>
  <si>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</si>
  <si>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</si>
  <si>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Waste_Scrap</t>
  </si>
  <si>
    <t>scrap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</si>
  <si>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</si>
  <si>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</si>
  <si>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</si>
  <si>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</si>
  <si>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</si>
  <si>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</si>
  <si>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</si>
  <si>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</si>
  <si>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</si>
  <si>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</si>
  <si>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</si>
  <si>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</si>
  <si>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</si>
  <si>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created parameter file and added values from literature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</si>
  <si>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</si>
  <si>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</si>
  <si>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</si>
  <si>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</si>
  <si>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</si>
  <si>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</si>
  <si>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</si>
  <si>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</si>
  <si>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</si>
  <si>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</si>
  <si>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</si>
  <si>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</si>
  <si>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</si>
  <si>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</si>
  <si>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Used battery collection and sorting</t>
  </si>
  <si>
    <t>V.02</t>
  </si>
  <si>
    <t>ODYM_T6_P5_ToRefurbishment</t>
  </si>
  <si>
    <t>ODYM_T6_P5_ToRecycling</t>
  </si>
  <si>
    <t>Share of P5 going to recycling</t>
  </si>
  <si>
    <t>6213e899-8367-483a-8d09-a0c0831c22e9</t>
  </si>
  <si>
    <t>Made up; Landfill is .95; to used export is 0.01; with recycling value of 0.04, sum of all rates for P5 = 1</t>
  </si>
  <si>
    <t>Made up; Landfill is .9; to used export is 0.01; with recycling value of 0.09, sum of all rates for P5 = 1</t>
  </si>
  <si>
    <t>Made up; Landfill is .75; to used export is 0.01; with recycling value of 0.24, sum of all rates for P5 = 1</t>
  </si>
  <si>
    <t>Made up; Landfill is .85; to used export is 0.01; with recycling value of 0.14, sum of all rates for P5 = 1</t>
  </si>
  <si>
    <t>Made up; Landfill is .9; to used export is 0.01; with recycling value of 0.11, sum of all rates for P5 = 1</t>
  </si>
  <si>
    <t>Made up; Landfill is .6; to used export is 0.01; with recycling value of 0.39, sum of all rates for P5 =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</si>
</sst>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1" xfId="0" applyBorder="1"/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workbookViewId="0">
      <selection activeCell="B11" sqref="B11"/>
    </sheetView>
  </sheetViews>
  <sheetFormatPr defaultColWidth="11.5546875" defaultRowHeight="14.4" x14ac:dyDescent="0.3"/>
  <cols>
    <col min="1" max="1" width="34.44140625" bestFit="1" customWidth="1"/>
    <col min="2" max="2" width="20.88671875" customWidth="1"/>
    <col min="3" max="3" width="19.21875" customWidth="1"/>
    <col min="4" max="4" width="31.44140625" customWidth="1"/>
  </cols>
  <sheetData>
    <row r="1" spans="1:8" x14ac:dyDescent="0.3">
      <c r="A1" s="5" t="s">
        <v>39</v>
      </c>
      <c r="E1" s="1" t="s">
        <v>16</v>
      </c>
      <c r="H1" s="3" t="s">
        <v>40</v>
      </c>
    </row>
    <row r="2" spans="1:8" x14ac:dyDescent="0.3">
      <c r="A2" s="6" t="s">
        <v>0</v>
      </c>
      <c r="B2" s="1" t="s">
        <v>106</v>
      </c>
      <c r="E2" s="1" t="s">
        <v>16</v>
      </c>
      <c r="H2" s="7" t="s">
        <v>17</v>
      </c>
    </row>
    <row r="3" spans="1:8" x14ac:dyDescent="0.3">
      <c r="A3" s="6" t="s">
        <v>18</v>
      </c>
      <c r="B3" s="16" t="s">
        <v>108</v>
      </c>
      <c r="E3" s="1" t="s">
        <v>16</v>
      </c>
      <c r="H3" s="7" t="s">
        <v>19</v>
      </c>
    </row>
    <row r="4" spans="1:8" x14ac:dyDescent="0.3">
      <c r="A4" s="6" t="s">
        <v>20</v>
      </c>
      <c r="B4" t="s">
        <v>109</v>
      </c>
      <c r="E4" s="1" t="s">
        <v>16</v>
      </c>
      <c r="H4" t="s">
        <v>21</v>
      </c>
    </row>
    <row r="5" spans="1:8" x14ac:dyDescent="0.3">
      <c r="A5" s="6" t="s">
        <v>1</v>
      </c>
      <c r="B5" s="1" t="s">
        <v>4</v>
      </c>
      <c r="E5" s="1" t="s">
        <v>16</v>
      </c>
      <c r="H5" t="s">
        <v>41</v>
      </c>
    </row>
    <row r="6" spans="1:8" x14ac:dyDescent="0.3">
      <c r="A6" s="6" t="s">
        <v>5</v>
      </c>
      <c r="B6" s="1" t="s">
        <v>4</v>
      </c>
      <c r="E6" s="1" t="s">
        <v>16</v>
      </c>
      <c r="H6" t="s">
        <v>42</v>
      </c>
    </row>
    <row r="7" spans="1:8" x14ac:dyDescent="0.3">
      <c r="A7" s="6" t="s">
        <v>6</v>
      </c>
      <c r="B7" s="1" t="s">
        <v>4</v>
      </c>
      <c r="E7" s="1" t="s">
        <v>16</v>
      </c>
      <c r="H7" t="s">
        <v>43</v>
      </c>
    </row>
    <row r="8" spans="1:8" x14ac:dyDescent="0.3">
      <c r="A8" s="2" t="s">
        <v>22</v>
      </c>
      <c r="B8" t="s">
        <v>105</v>
      </c>
      <c r="E8" s="1" t="s">
        <v>16</v>
      </c>
      <c r="H8" t="s">
        <v>23</v>
      </c>
    </row>
    <row r="9" spans="1:8" x14ac:dyDescent="0.3">
      <c r="A9" s="2" t="s">
        <v>24</v>
      </c>
      <c r="B9" s="16" t="s">
        <v>107</v>
      </c>
      <c r="E9" s="1" t="s">
        <v>16</v>
      </c>
      <c r="H9" t="s">
        <v>44</v>
      </c>
    </row>
    <row r="10" spans="1:8" x14ac:dyDescent="0.3">
      <c r="A10" s="6" t="s">
        <v>25</v>
      </c>
      <c r="B10" s="12" t="s">
        <v>110</v>
      </c>
      <c r="E10" s="1" t="s">
        <v>16</v>
      </c>
      <c r="H10" t="s">
        <v>26</v>
      </c>
    </row>
    <row r="11" spans="1:8" x14ac:dyDescent="0.3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">
      <c r="A14" s="6" t="s">
        <v>34</v>
      </c>
      <c r="B14" s="9" t="s">
        <v>53</v>
      </c>
      <c r="E14" s="1" t="s">
        <v>16</v>
      </c>
      <c r="H14" t="s">
        <v>35</v>
      </c>
    </row>
    <row r="15" spans="1:8" x14ac:dyDescent="0.3">
      <c r="A15" s="6" t="s">
        <v>36</v>
      </c>
      <c r="B15" s="8" t="s">
        <v>57</v>
      </c>
      <c r="E15" s="1" t="s">
        <v>16</v>
      </c>
      <c r="H15" t="s">
        <v>37</v>
      </c>
    </row>
    <row r="16" spans="1:8" x14ac:dyDescent="0.3">
      <c r="A16" s="2" t="s">
        <v>45</v>
      </c>
      <c r="E16" s="1"/>
    </row>
    <row r="17" spans="1:8" x14ac:dyDescent="0.3">
      <c r="A17" s="2" t="s">
        <v>45</v>
      </c>
      <c r="E17" s="1"/>
    </row>
    <row r="18" spans="1:8" x14ac:dyDescent="0.3">
      <c r="A18" s="2" t="s">
        <v>45</v>
      </c>
      <c r="E18" s="1"/>
    </row>
    <row r="19" spans="1:8" x14ac:dyDescent="0.3">
      <c r="A19" s="2" t="s">
        <v>45</v>
      </c>
      <c r="E19" s="1"/>
    </row>
    <row r="20" spans="1:8" x14ac:dyDescent="0.3">
      <c r="A20" s="2" t="s">
        <v>45</v>
      </c>
      <c r="E20" s="1"/>
    </row>
    <row r="21" spans="1:8" x14ac:dyDescent="0.3">
      <c r="A21" s="6" t="s">
        <v>2</v>
      </c>
      <c r="B21" s="5" t="s">
        <v>4</v>
      </c>
      <c r="C21" s="10" t="s">
        <v>9</v>
      </c>
      <c r="D21" s="11">
        <v>8</v>
      </c>
      <c r="E21" s="1" t="s">
        <v>16</v>
      </c>
      <c r="H21" t="s">
        <v>38</v>
      </c>
    </row>
    <row r="22" spans="1:8" x14ac:dyDescent="0.3">
      <c r="A22" s="6" t="s">
        <v>10</v>
      </c>
      <c r="B22" s="6" t="s">
        <v>46</v>
      </c>
      <c r="C22" s="6" t="s">
        <v>7</v>
      </c>
      <c r="D22" s="6" t="s">
        <v>8</v>
      </c>
      <c r="E22" s="1" t="s">
        <v>16</v>
      </c>
    </row>
    <row r="23" spans="1:8" x14ac:dyDescent="0.3">
      <c r="A23" s="8" t="s">
        <v>60</v>
      </c>
      <c r="B23" t="s">
        <v>70</v>
      </c>
      <c r="C23" s="8" t="s">
        <v>11</v>
      </c>
      <c r="D23" t="s">
        <v>67</v>
      </c>
      <c r="E23" s="1" t="s">
        <v>16</v>
      </c>
      <c r="H23" t="s">
        <v>47</v>
      </c>
    </row>
    <row r="24" spans="1:8" x14ac:dyDescent="0.3">
      <c r="A24" s="8" t="s">
        <v>71</v>
      </c>
      <c r="B24" t="s">
        <v>72</v>
      </c>
      <c r="C24" s="8" t="s">
        <v>12</v>
      </c>
      <c r="D24" t="s">
        <v>68</v>
      </c>
      <c r="E24" s="1" t="s">
        <v>16</v>
      </c>
      <c r="H24" s="3" t="s">
        <v>48</v>
      </c>
    </row>
    <row r="25" spans="1:8" x14ac:dyDescent="0.3">
      <c r="A25" s="8" t="s">
        <v>73</v>
      </c>
      <c r="B25" t="s">
        <v>74</v>
      </c>
      <c r="C25" s="8" t="s">
        <v>13</v>
      </c>
      <c r="D25" t="s">
        <v>69</v>
      </c>
      <c r="E25" s="1" t="s">
        <v>16</v>
      </c>
      <c r="H25" s="3" t="s">
        <v>50</v>
      </c>
    </row>
    <row r="26" spans="1:8" x14ac:dyDescent="0.3">
      <c r="A26" s="8" t="s">
        <v>75</v>
      </c>
      <c r="B26" t="s">
        <v>76</v>
      </c>
      <c r="C26" s="8" t="s">
        <v>14</v>
      </c>
      <c r="D26" t="s">
        <v>49</v>
      </c>
      <c r="E26" s="1" t="s">
        <v>16</v>
      </c>
      <c r="H26" t="s">
        <v>52</v>
      </c>
    </row>
    <row r="27" spans="1:8" x14ac:dyDescent="0.3">
      <c r="C27" s="8" t="s">
        <v>15</v>
      </c>
      <c r="D27" t="s">
        <v>51</v>
      </c>
      <c r="E27" s="1" t="s">
        <v>16</v>
      </c>
    </row>
    <row r="28" spans="1:8" x14ac:dyDescent="0.3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5"/>
  <sheetViews>
    <sheetView zoomScale="70" zoomScaleNormal="70" workbookViewId="0">
      <selection activeCell="J10" sqref="J10"/>
    </sheetView>
  </sheetViews>
  <sheetFormatPr defaultColWidth="11.5546875" defaultRowHeight="14.4" x14ac:dyDescent="0.3"/>
  <cols>
    <col min="2" max="2" width="23.33203125" customWidth="1"/>
    <col min="3" max="3" width="19.5546875" customWidth="1"/>
    <col min="4" max="4" width="24.88671875" customWidth="1"/>
    <col min="5" max="5" width="15.44140625" bestFit="1" customWidth="1"/>
    <col min="6" max="7" width="17.6640625" bestFit="1" customWidth="1"/>
    <col min="8" max="8" width="30.109375" bestFit="1" customWidth="1"/>
    <col min="9" max="9" width="11.33203125" customWidth="1"/>
    <col min="10" max="10" width="13.88671875" bestFit="1" customWidth="1"/>
    <col min="11" max="11" width="12" bestFit="1" customWidth="1"/>
    <col min="12" max="12" width="15.77734375" bestFit="1" customWidth="1"/>
  </cols>
  <sheetData>
    <row r="1" spans="1:9" x14ac:dyDescent="0.3">
      <c r="A1" s="2" t="s">
        <v>60</v>
      </c>
      <c r="B1" s="2" t="s">
        <v>71</v>
      </c>
      <c r="C1" s="2" t="s">
        <v>73</v>
      </c>
      <c r="D1" s="2" t="s">
        <v>75</v>
      </c>
      <c r="E1" s="4" t="s">
        <v>11</v>
      </c>
      <c r="F1" s="4" t="s">
        <v>12</v>
      </c>
      <c r="G1" s="4" t="s">
        <v>13</v>
      </c>
      <c r="H1" s="4" t="s">
        <v>3</v>
      </c>
      <c r="I1" s="4" t="s">
        <v>15</v>
      </c>
    </row>
    <row r="2" spans="1:9" x14ac:dyDescent="0.3">
      <c r="A2" t="s">
        <v>58</v>
      </c>
      <c r="B2" t="s">
        <v>61</v>
      </c>
      <c r="C2" t="s">
        <v>55</v>
      </c>
      <c r="D2" s="1" t="s">
        <v>56</v>
      </c>
      <c r="E2">
        <v>0.04</v>
      </c>
      <c r="F2">
        <v>1</v>
      </c>
      <c r="G2">
        <v>1</v>
      </c>
      <c r="H2" t="s">
        <v>54</v>
      </c>
      <c r="I2" t="s">
        <v>111</v>
      </c>
    </row>
    <row r="3" spans="1:9" x14ac:dyDescent="0.3">
      <c r="A3" t="s">
        <v>58</v>
      </c>
      <c r="B3" t="s">
        <v>62</v>
      </c>
      <c r="C3" t="s">
        <v>65</v>
      </c>
      <c r="D3" s="1" t="s">
        <v>66</v>
      </c>
      <c r="E3">
        <v>0.04</v>
      </c>
      <c r="F3">
        <v>1</v>
      </c>
      <c r="G3">
        <v>1</v>
      </c>
      <c r="H3" t="s">
        <v>54</v>
      </c>
      <c r="I3" t="s">
        <v>111</v>
      </c>
    </row>
    <row r="4" spans="1:9" x14ac:dyDescent="0.3">
      <c r="A4" t="s">
        <v>58</v>
      </c>
      <c r="B4" t="s">
        <v>63</v>
      </c>
      <c r="C4" t="s">
        <v>65</v>
      </c>
      <c r="D4" s="1" t="s">
        <v>66</v>
      </c>
      <c r="E4">
        <v>0.09</v>
      </c>
      <c r="F4">
        <v>1</v>
      </c>
      <c r="G4">
        <v>1</v>
      </c>
      <c r="H4" t="s">
        <v>54</v>
      </c>
      <c r="I4" t="s">
        <v>112</v>
      </c>
    </row>
    <row r="5" spans="1:9" x14ac:dyDescent="0.3">
      <c r="A5" t="s">
        <v>58</v>
      </c>
      <c r="B5" t="s">
        <v>64</v>
      </c>
      <c r="C5" t="s">
        <v>55</v>
      </c>
      <c r="D5" s="1" t="s">
        <v>56</v>
      </c>
      <c r="E5">
        <v>0.24</v>
      </c>
      <c r="F5">
        <v>1</v>
      </c>
      <c r="G5">
        <v>1</v>
      </c>
      <c r="H5" t="s">
        <v>54</v>
      </c>
      <c r="I5" t="s">
        <v>113</v>
      </c>
    </row>
    <row r="6" spans="1:9" x14ac:dyDescent="0.3">
      <c r="A6" t="s">
        <v>59</v>
      </c>
      <c r="B6" t="s">
        <v>61</v>
      </c>
      <c r="C6" t="s">
        <v>55</v>
      </c>
      <c r="D6" s="1" t="s">
        <v>56</v>
      </c>
      <c r="E6">
        <v>0.14000000000000001</v>
      </c>
      <c r="F6">
        <v>1</v>
      </c>
      <c r="G6">
        <v>1</v>
      </c>
      <c r="H6" t="s">
        <v>54</v>
      </c>
      <c r="I6" t="s">
        <v>114</v>
      </c>
    </row>
    <row r="7" spans="1:9" x14ac:dyDescent="0.3">
      <c r="A7" t="s">
        <v>59</v>
      </c>
      <c r="B7" t="s">
        <v>62</v>
      </c>
      <c r="C7" t="s">
        <v>65</v>
      </c>
      <c r="D7" s="1" t="s">
        <v>66</v>
      </c>
      <c r="E7">
        <v>0.89</v>
      </c>
      <c r="F7">
        <v>1</v>
      </c>
      <c r="G7">
        <v>1</v>
      </c>
      <c r="H7" t="s">
        <v>54</v>
      </c>
      <c r="I7" t="s">
        <v>115</v>
      </c>
    </row>
    <row r="8" spans="1:9" x14ac:dyDescent="0.3">
      <c r="A8" t="s">
        <v>59</v>
      </c>
      <c r="B8" t="s">
        <v>63</v>
      </c>
      <c r="C8" t="s">
        <v>65</v>
      </c>
      <c r="D8" s="1" t="s">
        <v>66</v>
      </c>
      <c r="E8">
        <v>0.14000000000000001</v>
      </c>
      <c r="F8">
        <v>1</v>
      </c>
      <c r="G8">
        <v>1</v>
      </c>
      <c r="H8" t="s">
        <v>54</v>
      </c>
      <c r="I8" t="s">
        <v>114</v>
      </c>
    </row>
    <row r="9" spans="1:9" x14ac:dyDescent="0.3">
      <c r="A9" t="s">
        <v>59</v>
      </c>
      <c r="B9" t="s">
        <v>64</v>
      </c>
      <c r="C9" t="s">
        <v>55</v>
      </c>
      <c r="D9" s="1" t="s">
        <v>56</v>
      </c>
      <c r="E9">
        <v>0.39</v>
      </c>
      <c r="F9">
        <v>1</v>
      </c>
      <c r="G9">
        <v>1</v>
      </c>
      <c r="H9" t="s">
        <v>54</v>
      </c>
      <c r="I9" t="s">
        <v>116</v>
      </c>
    </row>
    <row r="10" spans="1:9" x14ac:dyDescent="0.3">
      <c r="D10" s="1"/>
      <c r="I10" t="s">
        <v>16</v>
      </c>
    </row>
    <row r="35" spans="6:6" x14ac:dyDescent="0.3">
      <c r="F35" s="1"/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F4" sqref="F4"/>
    </sheetView>
  </sheetViews>
  <sheetFormatPr defaultColWidth="11.5546875" defaultRowHeight="14.4" x14ac:dyDescent="0.3"/>
  <sheetData>
    <row r="2" spans="2:13" x14ac:dyDescent="0.3"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</row>
    <row r="3" spans="2:13" x14ac:dyDescent="0.3">
      <c r="B3" s="13">
        <v>43344</v>
      </c>
      <c r="D3" s="14" t="s">
        <v>53</v>
      </c>
      <c r="E3" s="15"/>
      <c r="F3" s="12" t="s">
        <v>110</v>
      </c>
      <c r="G3" t="s">
        <v>89</v>
      </c>
      <c r="H3" t="s">
        <v>90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tabSelected="1" workbookViewId="0">
      <selection activeCell="B4" sqref="B4"/>
    </sheetView>
  </sheetViews>
  <sheetFormatPr defaultColWidth="11.5546875" defaultRowHeight="14.4" x14ac:dyDescent="0.3"/>
  <sheetData>
    <row r="2" spans="2:16" x14ac:dyDescent="0.3">
      <c r="B2" s="2" t="s">
        <v>91</v>
      </c>
      <c r="C2" s="2" t="s">
        <v>92</v>
      </c>
      <c r="D2" s="2" t="s">
        <v>93</v>
      </c>
      <c r="E2" s="2" t="s">
        <v>94</v>
      </c>
      <c r="F2" s="2"/>
      <c r="G2" s="2" t="s">
        <v>95</v>
      </c>
      <c r="H2" s="2" t="s">
        <v>96</v>
      </c>
      <c r="I2" s="2" t="s">
        <v>97</v>
      </c>
      <c r="J2" s="2" t="s">
        <v>98</v>
      </c>
      <c r="K2" s="2" t="s">
        <v>99</v>
      </c>
      <c r="L2" s="2" t="s">
        <v>100</v>
      </c>
      <c r="M2" s="2" t="s">
        <v>101</v>
      </c>
      <c r="N2" s="2" t="s">
        <v>102</v>
      </c>
      <c r="O2" s="2" t="s">
        <v>103</v>
      </c>
      <c r="P2" s="2" t="s">
        <v>104</v>
      </c>
    </row>
    <row r="3" spans="2:16" x14ac:dyDescent="0.3">
      <c r="B3" s="16" t="str">
        <f>Cover!B3</f>
        <v>ODYM_T6_P5_ToRecycling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2025-05-30T02:25:27Z</dcterms:modified>
</cp:coreProperties>
</file>