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E203A5A-AE82-4704-9DA4-D22894B9A80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<sst xmlns="http://schemas.openxmlformats.org/spreadsheetml/2006/main" count="144" uniqueCount="103">
  <si>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</si>
  <si>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</si>
  <si>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</si>
  <si>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</si>
  <si>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</si>
  <si>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</si>
  <si>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</si>
  <si>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</si>
  <si>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</si>
  <si>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</si>
  <si>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</si>
  <si>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</si>
  <si>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</si>
  <si>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</si>
  <si>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</si>
  <si>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</si>
  <si>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</si>
  <si>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</si>
  <si>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</si>
  <si>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</si>
  <si>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</si>
  <si>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</si>
  <si>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</si>
  <si>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</si>
  <si>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</si>
  <si>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</si>
  <si>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</si>
  <si>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</si>
  <si>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</si>
  <si>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</si>
  <si>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</si>
  <si>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</si>
  <si>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</si>
  <si>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</si>
  <si>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</si>
  <si>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</si>
  <si>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</si>
  <si>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</si>
  <si>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</si>
  <si>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</si>
  <si>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</si>
  <si>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</si>
  <si>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</si>
  <si>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</si>
  <si>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</si>
  <si>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</si>
  <si>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</si>
  <si>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</si>
  <si>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</si>
  <si>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</si>
  <si>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</si>
  <si>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</si>
  <si>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</si>
  <si>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</si>
  <si>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</si>
  <si>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</si>
  <si>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</si>
  <si>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</si>
  <si>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</si>
  <si>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</si>
  <si>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</si>
  <si>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</si>
  <si>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</si>
  <si>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</si>
  <si>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</si>
  <si>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</si>
  <si>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</si>
  <si>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</si>
  <si>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</si>
  <si>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</si>
  <si>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</si>
  <si>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</si>
  <si>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</si>
  <si>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</si>
  <si>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</si>
  <si>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</si>
  <si>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</si>
  <si>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</si>
  <si>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</si>
  <si>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</si>
  <si>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</si>
  <si>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</si>
  <si>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</si>
  <si>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</si>
  <si>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</si>
  <si>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</si>
  <si>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</si>
  <si>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</si>
  <si>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</si>
  <si>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</si>
  <si>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</si>
  <si>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</si>
  <si>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Remelting yield</t>
  </si>
  <si>
    <t>ODYM_Classifications_LL</t>
  </si>
  <si>
    <t>LIB</t>
  </si>
  <si>
    <t>LIB scrap</t>
  </si>
  <si>
    <t>Other scrap</t>
  </si>
  <si>
    <t>LIB materials</t>
  </si>
  <si>
    <t>38ed7154-01c2-4d21-8128-df10bbd150a6</t>
  </si>
  <si>
    <t>ODYM_T6_SortingToRefurbishmentRate</t>
  </si>
  <si>
    <t>Share of sorting output that is recovered as secondary material</t>
  </si>
  <si>
    <t>Sorting to refurbishment + Remelting yield = .66+.34</t>
  </si>
  <si>
    <t>Used batteries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</si>
</sst>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9" sqref="B9"/>
    </sheetView>
  </sheetViews>
  <sheetFormatPr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99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100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102</v>
      </c>
      <c r="E8" s="1" t="s">
        <v>16</v>
      </c>
      <c r="H8" t="s">
        <v>23</v>
      </c>
    </row>
    <row r="9" spans="1:8" x14ac:dyDescent="0.3">
      <c r="A9" s="2" t="s">
        <v>24</v>
      </c>
      <c r="B9" s="8" t="s">
        <v>99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98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93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70" zoomScaleNormal="70" workbookViewId="0">
      <selection activeCell="H3" sqref="H3"/>
    </sheetView>
  </sheetViews>
  <sheetFormatPr defaultColWidth="10.88671875" defaultRowHeight="14.4" x14ac:dyDescent="0.3"/>
  <cols>
    <col min="2" max="2" width="36.77734375" bestFit="1" customWidth="1"/>
    <col min="3" max="3" width="20.6640625" bestFit="1" customWidth="1"/>
    <col min="4" max="4" width="15.44140625" bestFit="1" customWidth="1"/>
    <col min="5" max="6" width="17.6640625" bestFit="1" customWidth="1"/>
    <col min="7" max="7" width="30.109375" bestFit="1" customWidth="1"/>
    <col min="8" max="8" width="11.33203125" customWidth="1"/>
    <col min="9" max="9" width="13.77734375" bestFit="1" customWidth="1"/>
    <col min="10" max="10" width="12" bestFit="1" customWidth="1"/>
    <col min="11" max="11" width="15.77734375" bestFit="1" customWidth="1"/>
  </cols>
  <sheetData>
    <row r="1" spans="1:8" x14ac:dyDescent="0.3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">
      <c r="A2" t="s">
        <v>56</v>
      </c>
      <c r="B2" s="1" t="s">
        <v>95</v>
      </c>
      <c r="C2" t="s">
        <v>94</v>
      </c>
      <c r="D2">
        <v>0.66</v>
      </c>
      <c r="E2">
        <v>1</v>
      </c>
      <c r="F2">
        <v>1</v>
      </c>
      <c r="G2" t="s">
        <v>55</v>
      </c>
      <c r="H2" t="s">
        <v>101</v>
      </c>
    </row>
    <row r="3" spans="1:8" x14ac:dyDescent="0.3">
      <c r="A3" t="s">
        <v>56</v>
      </c>
      <c r="B3" t="s">
        <v>96</v>
      </c>
      <c r="C3" t="s">
        <v>97</v>
      </c>
      <c r="D3">
        <v>0.66</v>
      </c>
      <c r="E3">
        <v>1</v>
      </c>
      <c r="F3">
        <v>1</v>
      </c>
      <c r="G3" t="s">
        <v>55</v>
      </c>
      <c r="H3" t="s">
        <v>101</v>
      </c>
    </row>
    <row r="4" spans="1:8" x14ac:dyDescent="0.3">
      <c r="B4" s="1"/>
    </row>
    <row r="5" spans="1:8" x14ac:dyDescent="0.3">
      <c r="B5" s="1"/>
    </row>
    <row r="6" spans="1:8" x14ac:dyDescent="0.3">
      <c r="B6" s="1"/>
    </row>
    <row r="7" spans="1:8" x14ac:dyDescent="0.3">
      <c r="B7" s="1"/>
    </row>
    <row r="8" spans="1:8" x14ac:dyDescent="0.3">
      <c r="B8" s="1"/>
    </row>
    <row r="33" spans="5:5" x14ac:dyDescent="0.3">
      <c r="E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88671875" defaultRowHeight="14.4" x14ac:dyDescent="0.3"/>
  <sheetData>
    <row r="2" spans="2:13" x14ac:dyDescent="0.3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">
      <c r="B3" s="13">
        <v>43344</v>
      </c>
      <c r="D3" s="14" t="s">
        <v>54</v>
      </c>
      <c r="E3" s="15"/>
      <c r="F3" s="12" t="str">
        <f>Cover!B10</f>
        <v>38ed7154-01c2-4d21-8128-df10bbd150a6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tabSelected="1" workbookViewId="0">
      <selection activeCell="B3" sqref="B3"/>
    </sheetView>
  </sheetViews>
  <sheetFormatPr defaultColWidth="10.88671875" defaultRowHeight="14.4" x14ac:dyDescent="0.3"/>
  <cols>
    <col min="2" max="2" width="15.33203125" customWidth="1"/>
  </cols>
  <sheetData>
    <row r="2" spans="2:16" x14ac:dyDescent="0.3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">
      <c r="B3" t="str">
        <f>Cover!B3</f>
        <v>ODYM_T6_SortingToRefurbishmentRate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2025-07-31T19:03:11Z</dcterms:modified>
</cp:coreProperties>
</file>