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8CDC9509-BFBE-413F-8AB3-A43CAA40A223}" xr6:coauthVersionLast="47" xr6:coauthVersionMax="47" xr10:uidLastSave="{00000000-0000-0000-0000-000000000000}"/>
  <bookViews>
    <workbookView xWindow="3960" yWindow="1290" windowWidth="14400" windowHeight="727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<sst xmlns="http://schemas.openxmlformats.org/spreadsheetml/2006/main" count="154" uniqueCount="102">
  <si>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</si>
  <si>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</si>
  <si>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</si>
  <si>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</si>
  <si>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</si>
  <si>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</si>
  <si>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</si>
  <si>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</si>
  <si>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</si>
  <si>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</si>
  <si>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</si>
  <si>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</si>
  <si>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</si>
  <si>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</si>
  <si>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</si>
  <si>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</si>
  <si>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</si>
  <si>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</si>
  <si>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</si>
  <si>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</si>
  <si>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</si>
  <si>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</si>
  <si>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</si>
  <si>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</si>
  <si>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</si>
  <si>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</si>
  <si>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</si>
  <si>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</si>
  <si>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</si>
  <si>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</si>
  <si>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</si>
  <si>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</si>
  <si>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</si>
  <si>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</si>
  <si>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</si>
  <si>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</si>
  <si>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</si>
  <si>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</si>
  <si>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</si>
  <si>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</si>
  <si>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</si>
  <si>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</si>
  <si>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</si>
  <si>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</si>
  <si>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</si>
  <si>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</si>
  <si>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</si>
  <si>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</si>
  <si>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</si>
  <si>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</si>
  <si>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</si>
  <si>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</si>
  <si>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</si>
  <si>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</si>
  <si>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</si>
  <si>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</si>
  <si>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</si>
  <si>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</si>
  <si>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</si>
  <si>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</si>
  <si>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</si>
  <si>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</si>
  <si>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</si>
  <si>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</si>
  <si>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</si>
  <si>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</si>
  <si>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</si>
  <si>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</si>
  <si>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</si>
  <si>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</si>
  <si>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</si>
  <si>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</si>
  <si>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</si>
  <si>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</si>
  <si>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</si>
  <si>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</si>
  <si>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</si>
  <si>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</si>
  <si>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</si>
  <si>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</si>
  <si>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</si>
  <si>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</si>
  <si>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</si>
  <si>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</si>
  <si>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</si>
  <si>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</si>
  <si>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</si>
  <si>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</si>
  <si>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</si>
  <si>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</si>
  <si>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</si>
  <si>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</si>
  <si>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a3e33053-ab7a-4979-be82-d14c6e5eecef</t>
  </si>
  <si>
    <t>Share of material going to different end-use sectors</t>
  </si>
  <si>
    <t>LIB</t>
  </si>
  <si>
    <t>LIB materials</t>
  </si>
  <si>
    <t>EV LIB</t>
  </si>
  <si>
    <t>other EV LIB products</t>
  </si>
  <si>
    <t>Need to revise</t>
  </si>
  <si>
    <t>ODYM_T6_RecyclingSectorSplit</t>
  </si>
  <si>
    <t>Preprocessing and recycling</t>
  </si>
  <si>
    <t>ODYM_Classifications_EV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</si>
</sst>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99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93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100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99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92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101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93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zoomScale="69" zoomScaleNormal="100" workbookViewId="0">
      <selection activeCell="H5" sqref="H5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94</v>
      </c>
      <c r="C2" s="16" t="s">
        <v>96</v>
      </c>
      <c r="D2">
        <v>0.9</v>
      </c>
      <c r="E2">
        <v>1</v>
      </c>
      <c r="F2">
        <v>1</v>
      </c>
      <c r="G2" t="s">
        <v>55</v>
      </c>
      <c r="H2" t="s">
        <v>98</v>
      </c>
    </row>
    <row r="3" spans="1:8" x14ac:dyDescent="0.35">
      <c r="A3" t="s">
        <v>56</v>
      </c>
      <c r="B3" t="s">
        <v>94</v>
      </c>
      <c r="C3" s="16" t="s">
        <v>97</v>
      </c>
      <c r="D3">
        <v>0.1</v>
      </c>
      <c r="E3">
        <v>1</v>
      </c>
      <c r="F3">
        <v>1</v>
      </c>
      <c r="G3" t="s">
        <v>55</v>
      </c>
      <c r="H3" t="s">
        <v>98</v>
      </c>
    </row>
    <row r="4" spans="1:8" x14ac:dyDescent="0.35">
      <c r="A4" t="s">
        <v>56</v>
      </c>
      <c r="B4" t="s">
        <v>95</v>
      </c>
      <c r="C4" s="16" t="s">
        <v>96</v>
      </c>
      <c r="D4">
        <v>0.2</v>
      </c>
      <c r="E4">
        <v>1</v>
      </c>
      <c r="F4">
        <v>1</v>
      </c>
      <c r="G4" t="s">
        <v>55</v>
      </c>
      <c r="H4" t="s">
        <v>98</v>
      </c>
    </row>
    <row r="5" spans="1:8" x14ac:dyDescent="0.35">
      <c r="A5" t="s">
        <v>56</v>
      </c>
      <c r="B5" t="s">
        <v>95</v>
      </c>
      <c r="C5" s="16" t="s">
        <v>97</v>
      </c>
      <c r="D5">
        <v>0.8</v>
      </c>
      <c r="E5">
        <v>1</v>
      </c>
      <c r="F5">
        <v>1</v>
      </c>
      <c r="G5" t="s">
        <v>55</v>
      </c>
      <c r="H5" t="s">
        <v>98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/>
      <c r="D3" s="14" t="s">
        <v>54</v>
      </c>
      <c r="E3" s="15"/>
      <c r="F3" s="12" t="str">
        <f>Cover!B10</f>
        <v>a3e33053-ab7a-4979-be82-d14c6e5eecef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0.90625" defaultRowHeight="14.5" x14ac:dyDescent="0.35"/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Cover!B9</f>
        <v>ODYM_T6_RecyclingSectorSplit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2025-08-15T13:28:31Z</dcterms:modified>
</cp:coreProperties>
</file>