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FCD1485F-5291-45F7-B8B5-351AE0DE06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<sst xmlns="http://schemas.openxmlformats.org/spreadsheetml/2006/main" count="144" uniqueCount="103">
  <si>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</si>
  <si>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</si>
  <si>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</si>
  <si>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</si>
  <si>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</si>
  <si>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</si>
  <si>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</si>
  <si>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</si>
  <si>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</si>
  <si>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</si>
  <si>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</si>
  <si>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</si>
  <si>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</si>
  <si>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</si>
  <si>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</si>
  <si>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</si>
  <si>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</si>
  <si>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</si>
  <si>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</si>
  <si>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</si>
  <si>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</si>
  <si>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</si>
  <si>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</si>
  <si>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</si>
  <si>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</si>
  <si>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</si>
  <si>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</si>
  <si>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</si>
  <si>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</si>
  <si>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</si>
  <si>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</si>
  <si>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</si>
  <si>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</si>
  <si>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</si>
  <si>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</si>
  <si>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</si>
  <si>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</si>
  <si>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</si>
  <si>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</si>
  <si>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</si>
  <si>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</si>
  <si>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</si>
  <si>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</si>
  <si>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</si>
  <si>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</si>
  <si>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</si>
  <si>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</si>
  <si>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</si>
  <si>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</si>
  <si>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</si>
  <si>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</si>
  <si>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</si>
  <si>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</si>
  <si>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</si>
  <si>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</si>
  <si>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</si>
  <si>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</si>
  <si>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</si>
  <si>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</si>
  <si>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</si>
  <si>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</si>
  <si>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</si>
  <si>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</si>
  <si>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</si>
  <si>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</si>
  <si>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</si>
  <si>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</si>
  <si>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</si>
  <si>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</si>
  <si>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</si>
  <si>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</si>
  <si>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</si>
  <si>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</si>
  <si>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</si>
  <si>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</si>
  <si>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</si>
  <si>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</si>
  <si>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</si>
  <si>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</si>
  <si>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</si>
  <si>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</si>
  <si>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</si>
  <si>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</si>
  <si>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</si>
  <si>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</si>
  <si>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</si>
  <si>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</si>
  <si>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</si>
  <si>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</si>
  <si>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</si>
  <si>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</si>
  <si>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</si>
  <si>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ODYM_Tutorial6_RemeltingYield</t>
  </si>
  <si>
    <t>38ed7154-01c2-4d21-8128-df10bbd150a5</t>
  </si>
  <si>
    <t>Remelting yield</t>
  </si>
  <si>
    <t>Share of input scrap that is recovered as secondary material</t>
  </si>
  <si>
    <t>ODYM_Classifications_LL</t>
  </si>
  <si>
    <t>LIB</t>
  </si>
  <si>
    <t>LIB scrap</t>
  </si>
  <si>
    <t>Other scrap</t>
  </si>
  <si>
    <t>LIB materials</t>
  </si>
  <si>
    <t>Recycling_Remelting</t>
  </si>
  <si>
    <t>Scrap to refurbishment + Remelting yield = .66+.34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</si>
</sst>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0" sqref="B10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92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95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101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92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93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96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94</v>
      </c>
      <c r="E23" s="1" t="s">
        <v>16</v>
      </c>
      <c r="H23" t="s">
        <v>48</v>
      </c>
    </row>
    <row r="24" spans="1:8" x14ac:dyDescent="0.3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2" sqref="H2:H3"/>
    </sheetView>
  </sheetViews>
  <sheetFormatPr defaultColWidth="10.88671875" defaultRowHeight="14.4" x14ac:dyDescent="0.3"/>
  <cols>
    <col min="2" max="2" width="36.77734375" bestFit="1" customWidth="1"/>
    <col min="3" max="3" width="20.6640625" bestFit="1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77734375" bestFit="1" customWidth="1"/>
    <col min="10" max="10" width="12" bestFit="1" customWidth="1"/>
    <col min="11" max="11" width="15.77734375" bestFit="1" customWidth="1"/>
  </cols>
  <sheetData>
    <row r="1" spans="1:8" x14ac:dyDescent="0.3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">
      <c r="A2" t="s">
        <v>56</v>
      </c>
      <c r="B2" s="1" t="s">
        <v>98</v>
      </c>
      <c r="C2" t="s">
        <v>97</v>
      </c>
      <c r="D2">
        <v>0.34</v>
      </c>
      <c r="E2">
        <v>1</v>
      </c>
      <c r="F2">
        <v>1</v>
      </c>
      <c r="G2" t="s">
        <v>55</v>
      </c>
      <c r="H2" t="s">
        <v>102</v>
      </c>
    </row>
    <row r="3" spans="1:8" x14ac:dyDescent="0.3">
      <c r="A3" t="s">
        <v>56</v>
      </c>
      <c r="B3" t="s">
        <v>99</v>
      </c>
      <c r="C3" t="s">
        <v>100</v>
      </c>
      <c r="D3">
        <v>0.34</v>
      </c>
      <c r="E3">
        <v>1</v>
      </c>
      <c r="F3">
        <v>1</v>
      </c>
      <c r="G3" t="s">
        <v>55</v>
      </c>
      <c r="H3" t="s">
        <v>102</v>
      </c>
    </row>
    <row r="4" spans="1:8" x14ac:dyDescent="0.3">
      <c r="B4" s="1"/>
    </row>
    <row r="5" spans="1:8" x14ac:dyDescent="0.3">
      <c r="B5" s="1"/>
    </row>
    <row r="6" spans="1:8" x14ac:dyDescent="0.3">
      <c r="B6" s="1"/>
    </row>
    <row r="7" spans="1:8" x14ac:dyDescent="0.3">
      <c r="B7" s="1"/>
    </row>
    <row r="8" spans="1:8" x14ac:dyDescent="0.3">
      <c r="B8" s="1"/>
    </row>
    <row r="33" spans="5:5" x14ac:dyDescent="0.3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88671875" defaultRowHeight="14.4" x14ac:dyDescent="0.3"/>
  <sheetData>
    <row r="2" spans="2:13" x14ac:dyDescent="0.3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">
      <c r="B3" s="13">
        <v>43344</v>
      </c>
      <c r="D3" s="14" t="s">
        <v>54</v>
      </c>
      <c r="E3" s="15"/>
      <c r="F3" s="12" t="str">
        <f>Cover!B10</f>
        <v>38ed7154-01c2-4d21-8128-df10bbd150a5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tabSelected="1" workbookViewId="0">
      <selection activeCell="C3" sqref="C3"/>
    </sheetView>
  </sheetViews>
  <sheetFormatPr defaultColWidth="10.88671875" defaultRowHeight="14.4" x14ac:dyDescent="0.3"/>
  <sheetData>
    <row r="2" spans="2:16" x14ac:dyDescent="0.3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">
      <c r="B3" t="str">
        <f>Cover!B3</f>
        <v>ODYM_Tutorial6_RemeltingYield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2025-07-22T00:33:30Z</dcterms:modified>
</cp:coreProperties>
</file>