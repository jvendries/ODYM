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33FBF9D-3FE2-468C-ABB8-533866EB5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<sst xmlns="http://schemas.openxmlformats.org/spreadsheetml/2006/main" count="145" uniqueCount="104">
  <si>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</si>
  <si>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</si>
  <si>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</si>
  <si>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</si>
  <si>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</si>
  <si>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</si>
  <si>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</si>
  <si>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</si>
  <si>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</si>
  <si>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</si>
  <si>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</si>
  <si>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</si>
  <si>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</si>
  <si>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</si>
  <si>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</si>
  <si>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</si>
  <si>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</si>
  <si>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</si>
  <si>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</si>
  <si>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</si>
  <si>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</si>
  <si>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</si>
  <si>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</si>
  <si>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</si>
  <si>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</si>
  <si>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</si>
  <si>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</si>
  <si>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</si>
  <si>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</si>
  <si>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</si>
  <si>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</si>
  <si>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</si>
  <si>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</si>
  <si>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</si>
  <si>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</si>
  <si>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</si>
  <si>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</si>
  <si>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</si>
  <si>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</si>
  <si>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</si>
  <si>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</si>
  <si>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</si>
  <si>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</si>
  <si>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</si>
  <si>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</si>
  <si>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</si>
  <si>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</si>
  <si>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</si>
  <si>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</si>
  <si>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</si>
  <si>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</si>
  <si>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</si>
  <si>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</si>
  <si>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</si>
  <si>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</si>
  <si>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</si>
  <si>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</si>
  <si>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</si>
  <si>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</si>
  <si>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</si>
  <si>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</si>
  <si>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</si>
  <si>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</si>
  <si>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</si>
  <si>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</si>
  <si>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</si>
  <si>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</si>
  <si>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</si>
  <si>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</si>
  <si>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</si>
  <si>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</si>
  <si>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</si>
  <si>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</si>
  <si>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</si>
  <si>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</si>
  <si>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</si>
  <si>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</si>
  <si>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</si>
  <si>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</si>
  <si>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</si>
  <si>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</si>
  <si>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</si>
  <si>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</si>
  <si>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</si>
  <si>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</si>
  <si>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</si>
  <si>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</si>
  <si>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</si>
  <si>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</si>
  <si>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</si>
  <si>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</si>
  <si>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</si>
  <si>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</si>
  <si>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Remelting yield</t>
  </si>
  <si>
    <t>Share of input scrap that is recovered as secondary material</t>
  </si>
  <si>
    <t>ODYM_Classifications_LL</t>
  </si>
  <si>
    <t>LIB</t>
  </si>
  <si>
    <t>LIB scrap</t>
  </si>
  <si>
    <t>Other scrap</t>
  </si>
  <si>
    <t>LIB materials</t>
  </si>
  <si>
    <t>Recycling_Remelting</t>
  </si>
  <si>
    <t>ODYM_T6_ScrapToRefurbishmentRate</t>
  </si>
  <si>
    <t>38ed7154-01c2-4d21-8128-df10bbd150a6</t>
  </si>
  <si>
    <t>Scrap to refurbishment + Remelting yield = .66+.34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</si>
</sst>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1" sqref="B11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94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100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101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95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93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88671875" defaultRowHeight="14.4" x14ac:dyDescent="0.3"/>
  <cols>
    <col min="2" max="2" width="36.77734375" bestFit="1" customWidth="1"/>
    <col min="3" max="3" width="20.6640625" bestFit="1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s="1" t="s">
        <v>97</v>
      </c>
      <c r="C2" t="s">
        <v>96</v>
      </c>
      <c r="D2">
        <v>0.66</v>
      </c>
      <c r="E2">
        <v>1</v>
      </c>
      <c r="F2">
        <v>1</v>
      </c>
      <c r="G2" t="s">
        <v>55</v>
      </c>
      <c r="H2" t="s">
        <v>103</v>
      </c>
    </row>
    <row r="3" spans="1:8" x14ac:dyDescent="0.3">
      <c r="A3" t="s">
        <v>56</v>
      </c>
      <c r="B3" t="s">
        <v>98</v>
      </c>
      <c r="C3" t="s">
        <v>99</v>
      </c>
      <c r="D3">
        <v>0.66</v>
      </c>
      <c r="E3">
        <v>1</v>
      </c>
      <c r="F3">
        <v>1</v>
      </c>
      <c r="G3" t="s">
        <v>55</v>
      </c>
      <c r="H3" t="s">
        <v>103</v>
      </c>
    </row>
    <row r="4" spans="1:8" x14ac:dyDescent="0.3">
      <c r="B4" s="1"/>
    </row>
    <row r="5" spans="1:8" x14ac:dyDescent="0.3">
      <c r="B5" s="1"/>
    </row>
    <row r="6" spans="1:8" x14ac:dyDescent="0.3">
      <c r="B6" s="1"/>
    </row>
    <row r="7" spans="1:8" x14ac:dyDescent="0.3">
      <c r="B7" s="1"/>
    </row>
    <row r="8" spans="1:8" x14ac:dyDescent="0.3">
      <c r="B8" s="1"/>
    </row>
    <row r="33" spans="5:5" x14ac:dyDescent="0.3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38ed7154-01c2-4d21-8128-df10bbd150a6</v>
      </c>
      <c r="G3" t="s">
        <v>77</v>
      </c>
      <c r="H3" t="s">
        <v>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G3" sqref="G3:L3"/>
    </sheetView>
  </sheetViews>
  <sheetFormatPr defaultColWidth="10.88671875" defaultRowHeight="14.4" x14ac:dyDescent="0.3"/>
  <sheetData>
    <row r="2" spans="2:16" x14ac:dyDescent="0.3">
      <c r="B2" s="2" t="s">
        <v>79</v>
      </c>
      <c r="C2" s="2" t="s">
        <v>80</v>
      </c>
      <c r="D2" s="2" t="s">
        <v>81</v>
      </c>
      <c r="E2" s="2" t="s">
        <v>82</v>
      </c>
      <c r="F2" s="2"/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</row>
    <row r="3" spans="2:16" x14ac:dyDescent="0.3">
      <c r="B3" t="str">
        <f>Cover!B3</f>
        <v>ODYM_T6_ScrapToRefurbishmentRate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2025-07-22T00:32:34Z</dcterms:modified>
</cp:coreProperties>
</file>