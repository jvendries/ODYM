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927D3DBF-A9C3-41A9-90CC-269E3E831A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<sst xmlns="http://schemas.openxmlformats.org/spreadsheetml/2006/main" count="150" uniqueCount="108">
  <si>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</si>
  <si>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</si>
  <si>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</si>
  <si>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</si>
  <si>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</si>
  <si>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</si>
  <si>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</si>
  <si>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</si>
  <si>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</si>
  <si>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</si>
  <si>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</si>
  <si>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</si>
  <si>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</si>
  <si>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</si>
  <si>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</si>
  <si>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</si>
  <si>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</si>
  <si>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</si>
  <si>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</si>
  <si>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</si>
  <si>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</si>
  <si>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</si>
  <si>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</si>
  <si>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</si>
  <si>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</si>
  <si>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</si>
  <si>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</si>
  <si>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</si>
  <si>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</si>
  <si>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</si>
  <si>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</si>
  <si>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</si>
  <si>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</si>
  <si>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</si>
  <si>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</si>
  <si>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</si>
  <si>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</si>
  <si>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</si>
  <si>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</si>
  <si>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</si>
  <si>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</si>
  <si>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</si>
  <si>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</si>
  <si>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</si>
  <si>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</si>
  <si>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</si>
  <si>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</si>
  <si>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</si>
  <si>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</si>
  <si>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</si>
  <si>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</si>
  <si>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</si>
  <si>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</si>
  <si>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</si>
  <si>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</si>
  <si>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</si>
  <si>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</si>
  <si>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Recovery rate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</si>
  <si>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</si>
  <si>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</si>
  <si>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</si>
  <si>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</si>
  <si>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</si>
  <si>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</si>
  <si>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</si>
  <si>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</si>
  <si>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</si>
  <si>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</si>
  <si>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</si>
  <si>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</si>
  <si>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</si>
  <si>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</si>
  <si>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</si>
  <si>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</si>
  <si>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</si>
  <si>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</si>
  <si>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</si>
  <si>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</si>
  <si>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</si>
  <si>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</si>
  <si>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</si>
  <si>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</si>
  <si>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</si>
  <si>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</si>
  <si>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</si>
  <si>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</si>
  <si>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</si>
  <si>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</si>
  <si>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</si>
  <si>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</si>
  <si>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</si>
  <si>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</si>
  <si>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</si>
  <si>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</si>
  <si>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</si>
  <si>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V.02</t>
  </si>
  <si>
    <t>6213e899-8367-483a-8d09-a0c0831c22e7</t>
  </si>
  <si>
    <t>ODYM_T6_ToUsedExportRate</t>
  </si>
  <si>
    <t>Waste mgt. Industries</t>
  </si>
  <si>
    <t>Share of after use flow going to used export</t>
  </si>
  <si>
    <t>EV LIB</t>
  </si>
  <si>
    <t>LIB</t>
  </si>
  <si>
    <t>LIB scrap</t>
  </si>
  <si>
    <t>other EV LIB products</t>
  </si>
  <si>
    <t>LIB materials</t>
  </si>
  <si>
    <t>Other scrap</t>
  </si>
  <si>
    <t>Gaines et al 2023</t>
  </si>
  <si>
    <t>ODYM_Classifications_LL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</si>
</sst>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6" fillId="0" borderId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1" xfId="0" applyBorder="1"/>
    <xf numFmtId="0" fontId="0" fillId="0" borderId="0" xfId="0" applyAlignment="1">
      <alignment horizontal="left"/>
    </xf>
    <xf numFmtId="0" fontId="8" fillId="0" borderId="0" xfId="2"/>
  </cellXfs>
  <cellStyles count="3">
    <cellStyle name="Hyperlink" xfId="2" builtinId="8"/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ODYM_T6_ToUsedExportRateLL_V1.0.xlsx" TargetMode="External"/><Relationship Id="rId1" Type="http://schemas.openxmlformats.org/officeDocument/2006/relationships/hyperlink" Target="ODYM_T6_ToUsedExportRateLL_V1.0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D7" sqref="D7"/>
    </sheetView>
  </sheetViews>
  <sheetFormatPr defaultColWidth="11.5546875" defaultRowHeight="14.4" x14ac:dyDescent="0.3"/>
  <cols>
    <col min="1" max="1" width="34.44140625" bestFit="1" customWidth="1"/>
    <col min="2" max="2" width="20.88671875" customWidth="1"/>
    <col min="3" max="3" width="19.21875" customWidth="1"/>
    <col min="4" max="4" width="31.44140625" customWidth="1"/>
  </cols>
  <sheetData>
    <row r="1" spans="1:8" x14ac:dyDescent="0.3">
      <c r="A1" s="5" t="s">
        <v>39</v>
      </c>
      <c r="E1" s="1" t="s">
        <v>16</v>
      </c>
      <c r="H1" s="3" t="s">
        <v>40</v>
      </c>
    </row>
    <row r="2" spans="1:8" x14ac:dyDescent="0.3">
      <c r="A2" s="6" t="s">
        <v>0</v>
      </c>
      <c r="B2" s="1" t="s">
        <v>95</v>
      </c>
      <c r="E2" s="1" t="s">
        <v>16</v>
      </c>
      <c r="H2" s="7" t="s">
        <v>17</v>
      </c>
    </row>
    <row r="3" spans="1:8" x14ac:dyDescent="0.3">
      <c r="A3" s="6" t="s">
        <v>18</v>
      </c>
      <c r="B3" s="16" t="s">
        <v>97</v>
      </c>
      <c r="E3" s="1" t="s">
        <v>16</v>
      </c>
      <c r="H3" s="7" t="s">
        <v>19</v>
      </c>
    </row>
    <row r="4" spans="1:8" x14ac:dyDescent="0.3">
      <c r="A4" s="6" t="s">
        <v>20</v>
      </c>
      <c r="B4" t="s">
        <v>99</v>
      </c>
      <c r="E4" s="1" t="s">
        <v>16</v>
      </c>
      <c r="H4" t="s">
        <v>21</v>
      </c>
    </row>
    <row r="5" spans="1:8" x14ac:dyDescent="0.3">
      <c r="A5" s="6" t="s">
        <v>1</v>
      </c>
      <c r="B5" s="1" t="s">
        <v>4</v>
      </c>
      <c r="E5" s="1" t="s">
        <v>16</v>
      </c>
      <c r="H5" t="s">
        <v>41</v>
      </c>
    </row>
    <row r="6" spans="1:8" x14ac:dyDescent="0.3">
      <c r="A6" s="6" t="s">
        <v>5</v>
      </c>
      <c r="B6" s="1" t="s">
        <v>4</v>
      </c>
      <c r="E6" s="1" t="s">
        <v>16</v>
      </c>
      <c r="H6" t="s">
        <v>42</v>
      </c>
    </row>
    <row r="7" spans="1:8" x14ac:dyDescent="0.3">
      <c r="A7" s="6" t="s">
        <v>6</v>
      </c>
      <c r="B7" s="1" t="s">
        <v>4</v>
      </c>
      <c r="E7" s="1" t="s">
        <v>16</v>
      </c>
      <c r="H7" t="s">
        <v>43</v>
      </c>
    </row>
    <row r="8" spans="1:8" x14ac:dyDescent="0.3">
      <c r="A8" s="2" t="s">
        <v>22</v>
      </c>
      <c r="B8" t="s">
        <v>98</v>
      </c>
      <c r="E8" s="1" t="s">
        <v>16</v>
      </c>
      <c r="H8" t="s">
        <v>23</v>
      </c>
    </row>
    <row r="9" spans="1:8" x14ac:dyDescent="0.3">
      <c r="A9" s="2" t="s">
        <v>24</v>
      </c>
      <c r="B9" s="16" t="s">
        <v>97</v>
      </c>
      <c r="E9" s="1" t="s">
        <v>16</v>
      </c>
      <c r="H9" t="s">
        <v>44</v>
      </c>
    </row>
    <row r="10" spans="1:8" x14ac:dyDescent="0.3">
      <c r="A10" s="6" t="s">
        <v>25</v>
      </c>
      <c r="B10" s="12" t="s">
        <v>96</v>
      </c>
      <c r="E10" s="1" t="s">
        <v>16</v>
      </c>
      <c r="H10" t="s">
        <v>26</v>
      </c>
    </row>
    <row r="11" spans="1:8" x14ac:dyDescent="0.3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">
      <c r="A14" s="6" t="s">
        <v>34</v>
      </c>
      <c r="B14" s="9" t="s">
        <v>53</v>
      </c>
      <c r="E14" s="1" t="s">
        <v>16</v>
      </c>
      <c r="H14" t="s">
        <v>35</v>
      </c>
    </row>
    <row r="15" spans="1:8" x14ac:dyDescent="0.3">
      <c r="A15" s="6" t="s">
        <v>36</v>
      </c>
      <c r="B15" s="8" t="s">
        <v>107</v>
      </c>
      <c r="E15" s="1" t="s">
        <v>16</v>
      </c>
      <c r="H15" t="s">
        <v>37</v>
      </c>
    </row>
    <row r="16" spans="1:8" x14ac:dyDescent="0.3">
      <c r="A16" s="2" t="s">
        <v>45</v>
      </c>
      <c r="E16" s="1"/>
    </row>
    <row r="17" spans="1:8" x14ac:dyDescent="0.3">
      <c r="A17" s="2" t="s">
        <v>45</v>
      </c>
      <c r="E17" s="1"/>
    </row>
    <row r="18" spans="1:8" x14ac:dyDescent="0.3">
      <c r="A18" s="2" t="s">
        <v>45</v>
      </c>
      <c r="E18" s="1"/>
    </row>
    <row r="19" spans="1:8" x14ac:dyDescent="0.3">
      <c r="A19" s="2" t="s">
        <v>45</v>
      </c>
      <c r="E19" s="1"/>
    </row>
    <row r="20" spans="1:8" x14ac:dyDescent="0.3">
      <c r="A20" s="2" t="s">
        <v>45</v>
      </c>
      <c r="E20" s="1"/>
    </row>
    <row r="21" spans="1:8" x14ac:dyDescent="0.3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">
      <c r="A22" s="6" t="s">
        <v>10</v>
      </c>
      <c r="B22" s="6" t="s">
        <v>46</v>
      </c>
      <c r="C22" s="6" t="s">
        <v>7</v>
      </c>
      <c r="D22" s="6" t="s">
        <v>8</v>
      </c>
      <c r="E22" s="1" t="s">
        <v>16</v>
      </c>
    </row>
    <row r="23" spans="1:8" x14ac:dyDescent="0.3">
      <c r="A23" s="8" t="s">
        <v>56</v>
      </c>
      <c r="B23" t="s">
        <v>60</v>
      </c>
      <c r="C23" s="8" t="s">
        <v>11</v>
      </c>
      <c r="D23" t="s">
        <v>57</v>
      </c>
      <c r="E23" s="1" t="s">
        <v>16</v>
      </c>
      <c r="H23" t="s">
        <v>47</v>
      </c>
    </row>
    <row r="24" spans="1:8" x14ac:dyDescent="0.3">
      <c r="A24" s="8" t="s">
        <v>61</v>
      </c>
      <c r="B24" t="s">
        <v>62</v>
      </c>
      <c r="C24" s="8" t="s">
        <v>12</v>
      </c>
      <c r="D24" t="s">
        <v>58</v>
      </c>
      <c r="E24" s="1" t="s">
        <v>16</v>
      </c>
      <c r="H24" s="3" t="s">
        <v>48</v>
      </c>
    </row>
    <row r="25" spans="1:8" x14ac:dyDescent="0.3">
      <c r="A25" s="8" t="s">
        <v>63</v>
      </c>
      <c r="B25" t="s">
        <v>64</v>
      </c>
      <c r="C25" s="8" t="s">
        <v>13</v>
      </c>
      <c r="D25" t="s">
        <v>59</v>
      </c>
      <c r="E25" s="1" t="s">
        <v>16</v>
      </c>
      <c r="H25" s="3" t="s">
        <v>50</v>
      </c>
    </row>
    <row r="26" spans="1:8" x14ac:dyDescent="0.3">
      <c r="A26" s="8" t="s">
        <v>65</v>
      </c>
      <c r="B26" t="s">
        <v>66</v>
      </c>
      <c r="C26" s="8" t="s">
        <v>14</v>
      </c>
      <c r="D26" t="s">
        <v>49</v>
      </c>
      <c r="E26" s="1" t="s">
        <v>16</v>
      </c>
      <c r="H26" t="s">
        <v>52</v>
      </c>
    </row>
    <row r="27" spans="1:8" x14ac:dyDescent="0.3">
      <c r="C27" s="8" t="s">
        <v>15</v>
      </c>
      <c r="D27" t="s">
        <v>51</v>
      </c>
      <c r="E27" s="1" t="s">
        <v>16</v>
      </c>
    </row>
    <row r="28" spans="1:8" x14ac:dyDescent="0.3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zoomScale="70" zoomScaleNormal="70" workbookViewId="0">
      <selection activeCell="A2" sqref="A2:H3"/>
    </sheetView>
  </sheetViews>
  <sheetFormatPr defaultColWidth="11.5546875" defaultRowHeight="14.4" x14ac:dyDescent="0.3"/>
  <cols>
    <col min="2" max="2" width="23.33203125" customWidth="1"/>
    <col min="3" max="3" width="19.5546875" customWidth="1"/>
    <col min="4" max="4" width="24.88671875" customWidth="1"/>
    <col min="5" max="5" width="15.44140625" bestFit="1" customWidth="1"/>
    <col min="6" max="7" width="17.6640625" bestFit="1" customWidth="1"/>
    <col min="8" max="8" width="30.109375" bestFit="1" customWidth="1"/>
    <col min="9" max="9" width="11.33203125" customWidth="1"/>
    <col min="10" max="10" width="13.88671875" bestFit="1" customWidth="1"/>
    <col min="11" max="11" width="12" bestFit="1" customWidth="1"/>
    <col min="12" max="12" width="15.77734375" bestFit="1" customWidth="1"/>
  </cols>
  <sheetData>
    <row r="1" spans="1:9" x14ac:dyDescent="0.3">
      <c r="A1" s="2" t="s">
        <v>56</v>
      </c>
      <c r="B1" s="2" t="s">
        <v>61</v>
      </c>
      <c r="C1" s="2" t="s">
        <v>63</v>
      </c>
      <c r="D1" s="2" t="s">
        <v>65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">
      <c r="A2" t="s">
        <v>55</v>
      </c>
      <c r="B2" s="17" t="s">
        <v>100</v>
      </c>
      <c r="C2" t="s">
        <v>101</v>
      </c>
      <c r="D2" s="1" t="s">
        <v>102</v>
      </c>
      <c r="E2">
        <v>0.05</v>
      </c>
      <c r="F2">
        <v>1</v>
      </c>
      <c r="G2">
        <v>1</v>
      </c>
      <c r="H2" t="s">
        <v>54</v>
      </c>
      <c r="I2" s="18" t="s">
        <v>106</v>
      </c>
    </row>
    <row r="3" spans="1:9" x14ac:dyDescent="0.3">
      <c r="A3" t="s">
        <v>55</v>
      </c>
      <c r="B3" s="17" t="s">
        <v>103</v>
      </c>
      <c r="C3" t="s">
        <v>104</v>
      </c>
      <c r="D3" s="1" t="s">
        <v>105</v>
      </c>
      <c r="E3">
        <v>0.05</v>
      </c>
      <c r="F3">
        <v>1</v>
      </c>
      <c r="G3">
        <v>1</v>
      </c>
      <c r="H3" t="s">
        <v>54</v>
      </c>
      <c r="I3" s="18" t="s">
        <v>106</v>
      </c>
    </row>
    <row r="4" spans="1:9" x14ac:dyDescent="0.3">
      <c r="D4" s="1"/>
    </row>
    <row r="5" spans="1:9" x14ac:dyDescent="0.3">
      <c r="D5" s="1"/>
    </row>
    <row r="6" spans="1:9" x14ac:dyDescent="0.3">
      <c r="D6" s="1"/>
    </row>
    <row r="7" spans="1:9" x14ac:dyDescent="0.3">
      <c r="D7" s="1"/>
    </row>
    <row r="8" spans="1:9" x14ac:dyDescent="0.3">
      <c r="D8" s="1"/>
    </row>
    <row r="9" spans="1:9" x14ac:dyDescent="0.3">
      <c r="D9" s="1"/>
    </row>
    <row r="10" spans="1:9" x14ac:dyDescent="0.3">
      <c r="D10" s="1"/>
    </row>
    <row r="35" spans="6:6" x14ac:dyDescent="0.3">
      <c r="F35" s="1"/>
    </row>
  </sheetData>
  <phoneticPr fontId="7" type="noConversion"/>
  <hyperlinks>
    <hyperlink ref="I2" r:id="rId1" xr:uid="{CF7DB6DA-8A14-4095-BFD6-F60E89D6141B}"/>
    <hyperlink ref="I3" r:id="rId2" xr:uid="{D88DEC64-47AD-4A9B-AF3D-87B88F84F6A8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H3" sqref="H3"/>
    </sheetView>
  </sheetViews>
  <sheetFormatPr defaultColWidth="11.5546875" defaultRowHeight="14.4" x14ac:dyDescent="0.3"/>
  <sheetData>
    <row r="2" spans="2:13" x14ac:dyDescent="0.3"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</row>
    <row r="3" spans="2:13" x14ac:dyDescent="0.3">
      <c r="B3" s="13">
        <v>43344</v>
      </c>
      <c r="D3" s="14" t="s">
        <v>53</v>
      </c>
      <c r="E3" s="15"/>
      <c r="F3" s="12" t="str">
        <f>Cover!B10</f>
        <v>6213e899-8367-483a-8d09-a0c0831c22e7</v>
      </c>
      <c r="G3" t="s">
        <v>79</v>
      </c>
      <c r="H3" t="s">
        <v>80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4" sqref="B4"/>
    </sheetView>
  </sheetViews>
  <sheetFormatPr defaultColWidth="11.5546875" defaultRowHeight="14.4" x14ac:dyDescent="0.3"/>
  <sheetData>
    <row r="2" spans="2:16" x14ac:dyDescent="0.3">
      <c r="B2" s="2" t="s">
        <v>81</v>
      </c>
      <c r="C2" s="2" t="s">
        <v>82</v>
      </c>
      <c r="D2" s="2" t="s">
        <v>83</v>
      </c>
      <c r="E2" s="2" t="s">
        <v>84</v>
      </c>
      <c r="F2" s="2"/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90</v>
      </c>
      <c r="M2" s="2" t="s">
        <v>91</v>
      </c>
      <c r="N2" s="2" t="s">
        <v>92</v>
      </c>
      <c r="O2" s="2" t="s">
        <v>93</v>
      </c>
      <c r="P2" s="2" t="s">
        <v>94</v>
      </c>
    </row>
    <row r="3" spans="2:16" x14ac:dyDescent="0.3">
      <c r="B3" s="16" t="str">
        <f>Cover!B3</f>
        <v>ODYM_T6_ToUsedExportRate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2025-07-18T18:06:50Z</dcterms:modified>
</cp:coreProperties>
</file>