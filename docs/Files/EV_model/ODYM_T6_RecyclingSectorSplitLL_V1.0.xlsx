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5876F7F2-5F54-4701-9F46-229BD9479DC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<sst xmlns="http://schemas.openxmlformats.org/spreadsheetml/2006/main" count="154" uniqueCount="102">
  <si>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</si>
  <si>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</si>
  <si>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</si>
  <si>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</si>
  <si>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</si>
  <si>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</si>
  <si>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</si>
  <si>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</si>
  <si>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</si>
  <si>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</si>
  <si>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</si>
  <si>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</si>
  <si>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</si>
  <si>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</si>
  <si>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</si>
  <si>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</si>
  <si>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</si>
  <si>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</si>
  <si>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</si>
  <si>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</si>
  <si>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</si>
  <si>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</si>
  <si>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</si>
  <si>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</si>
  <si>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</si>
  <si>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</si>
  <si>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</si>
  <si>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</si>
  <si>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</si>
  <si>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</si>
  <si>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</si>
  <si>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</si>
  <si>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</si>
  <si>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</si>
  <si>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</si>
  <si>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</si>
  <si>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</si>
  <si>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</si>
  <si>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</si>
  <si>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</si>
  <si>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</si>
  <si>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</si>
  <si>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</si>
  <si>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</si>
  <si>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</si>
  <si>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</si>
  <si>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</si>
  <si>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</si>
  <si>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</si>
  <si>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</si>
  <si>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</si>
  <si>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</si>
  <si>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</si>
  <si>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</si>
  <si>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</si>
  <si>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</si>
  <si>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</si>
  <si>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</si>
  <si>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</si>
  <si>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</si>
  <si>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</si>
  <si>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</si>
  <si>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</si>
  <si>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</si>
  <si>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</si>
  <si>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</si>
  <si>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</si>
  <si>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</si>
  <si>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</si>
  <si>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</si>
  <si>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</si>
  <si>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</si>
  <si>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</si>
  <si>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</si>
  <si>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</si>
  <si>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</si>
  <si>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</si>
  <si>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</si>
  <si>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</si>
  <si>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</si>
  <si>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</si>
  <si>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</si>
  <si>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</si>
  <si>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</si>
  <si>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</si>
  <si>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</si>
  <si>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</si>
  <si>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</si>
  <si>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</si>
  <si>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</si>
  <si>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</si>
  <si>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</si>
  <si>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a3e33053-ab7a-4979-be82-d14c6e5eecef</t>
  </si>
  <si>
    <t>Share of material going to different end-use sectors</t>
  </si>
  <si>
    <t>ODYM_Classifications_LL</t>
  </si>
  <si>
    <t>LIB</t>
  </si>
  <si>
    <t>LIB materials</t>
  </si>
  <si>
    <t>EV LIB</t>
  </si>
  <si>
    <t>other EV LIB products</t>
  </si>
  <si>
    <t>Need to revise</t>
  </si>
  <si>
    <t>ODYM_T6_RecyclingSectorSplit</t>
  </si>
  <si>
    <t>Preprocessing and 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</si>
</sst>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9" sqref="B9"/>
    </sheetView>
  </sheetViews>
  <sheetFormatPr defaultColWidth="10.88671875" defaultRowHeight="14.4" x14ac:dyDescent="0.3"/>
  <cols>
    <col min="1" max="1" width="34.44140625" bestFit="1" customWidth="1"/>
    <col min="2" max="2" width="20.777343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">
      <c r="A3" s="6" t="s">
        <v>18</v>
      </c>
      <c r="B3" t="s">
        <v>100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93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">
      <c r="A8" s="2" t="s">
        <v>22</v>
      </c>
      <c r="B8" t="s">
        <v>101</v>
      </c>
      <c r="E8" s="1" t="s">
        <v>16</v>
      </c>
      <c r="H8" t="s">
        <v>23</v>
      </c>
    </row>
    <row r="9" spans="1:8" x14ac:dyDescent="0.3">
      <c r="A9" s="2" t="s">
        <v>24</v>
      </c>
      <c r="B9" t="s">
        <v>100</v>
      </c>
      <c r="E9" s="1" t="s">
        <v>16</v>
      </c>
      <c r="H9" t="s">
        <v>45</v>
      </c>
    </row>
    <row r="10" spans="1:8" x14ac:dyDescent="0.3">
      <c r="A10" s="6" t="s">
        <v>25</v>
      </c>
      <c r="B10" s="12" t="s">
        <v>92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94</v>
      </c>
      <c r="E15" s="1" t="s">
        <v>16</v>
      </c>
      <c r="H15" t="s">
        <v>37</v>
      </c>
    </row>
    <row r="16" spans="1:8" x14ac:dyDescent="0.3">
      <c r="A16" s="2" t="s">
        <v>46</v>
      </c>
      <c r="E16" s="1"/>
    </row>
    <row r="17" spans="1:8" x14ac:dyDescent="0.3">
      <c r="A17" s="2" t="s">
        <v>46</v>
      </c>
      <c r="E17" s="1"/>
    </row>
    <row r="18" spans="1:8" x14ac:dyDescent="0.3">
      <c r="A18" s="2" t="s">
        <v>46</v>
      </c>
      <c r="E18" s="1"/>
    </row>
    <row r="19" spans="1:8" x14ac:dyDescent="0.3">
      <c r="A19" s="2" t="s">
        <v>46</v>
      </c>
      <c r="E19" s="1"/>
    </row>
    <row r="20" spans="1:8" x14ac:dyDescent="0.3">
      <c r="A20" s="2" t="s">
        <v>46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57</v>
      </c>
      <c r="B23" t="s">
        <v>60</v>
      </c>
      <c r="C23" s="8" t="s">
        <v>11</v>
      </c>
      <c r="D23" t="s">
        <v>93</v>
      </c>
      <c r="E23" s="1" t="s">
        <v>16</v>
      </c>
      <c r="H23" t="s">
        <v>48</v>
      </c>
    </row>
    <row r="24" spans="1:8" x14ac:dyDescent="0.3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">
      <c r="C27" s="8" t="s">
        <v>15</v>
      </c>
      <c r="D27" t="s">
        <v>52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="69" zoomScaleNormal="100" workbookViewId="0">
      <selection activeCell="H5" sqref="H5"/>
    </sheetView>
  </sheetViews>
  <sheetFormatPr defaultColWidth="10.88671875" defaultRowHeight="14.4" x14ac:dyDescent="0.3"/>
  <cols>
    <col min="1" max="1" width="7.77734375" bestFit="1" customWidth="1"/>
    <col min="2" max="2" width="20.6640625" bestFit="1" customWidth="1"/>
    <col min="3" max="3" width="23.33203125" customWidth="1"/>
    <col min="4" max="4" width="15.44140625" bestFit="1" customWidth="1"/>
    <col min="5" max="6" width="17.6640625" bestFit="1" customWidth="1"/>
    <col min="7" max="7" width="30.109375" bestFit="1" customWidth="1"/>
    <col min="8" max="8" width="11.33203125" customWidth="1"/>
    <col min="9" max="9" width="13.77734375" bestFit="1" customWidth="1"/>
    <col min="10" max="10" width="12" bestFit="1" customWidth="1"/>
    <col min="11" max="11" width="15.77734375" bestFit="1" customWidth="1"/>
  </cols>
  <sheetData>
    <row r="1" spans="1:8" x14ac:dyDescent="0.3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">
      <c r="A2" t="s">
        <v>56</v>
      </c>
      <c r="B2" t="s">
        <v>95</v>
      </c>
      <c r="C2" s="16" t="s">
        <v>97</v>
      </c>
      <c r="D2">
        <v>0.9</v>
      </c>
      <c r="E2">
        <v>1</v>
      </c>
      <c r="F2">
        <v>1</v>
      </c>
      <c r="G2" t="s">
        <v>55</v>
      </c>
      <c r="H2" t="s">
        <v>99</v>
      </c>
    </row>
    <row r="3" spans="1:8" x14ac:dyDescent="0.3">
      <c r="A3" t="s">
        <v>56</v>
      </c>
      <c r="B3" t="s">
        <v>95</v>
      </c>
      <c r="C3" s="16" t="s">
        <v>98</v>
      </c>
      <c r="D3">
        <v>0.1</v>
      </c>
      <c r="E3">
        <v>1</v>
      </c>
      <c r="F3">
        <v>1</v>
      </c>
      <c r="G3" t="s">
        <v>55</v>
      </c>
      <c r="H3" t="s">
        <v>99</v>
      </c>
    </row>
    <row r="4" spans="1:8" x14ac:dyDescent="0.3">
      <c r="A4" t="s">
        <v>56</v>
      </c>
      <c r="B4" t="s">
        <v>96</v>
      </c>
      <c r="C4" s="16" t="s">
        <v>97</v>
      </c>
      <c r="D4">
        <v>0.2</v>
      </c>
      <c r="E4">
        <v>1</v>
      </c>
      <c r="F4">
        <v>1</v>
      </c>
      <c r="G4" t="s">
        <v>55</v>
      </c>
      <c r="H4" t="s">
        <v>99</v>
      </c>
    </row>
    <row r="5" spans="1:8" x14ac:dyDescent="0.3">
      <c r="A5" t="s">
        <v>56</v>
      </c>
      <c r="B5" t="s">
        <v>96</v>
      </c>
      <c r="C5" s="16" t="s">
        <v>98</v>
      </c>
      <c r="D5">
        <v>0.8</v>
      </c>
      <c r="E5">
        <v>1</v>
      </c>
      <c r="F5">
        <v>1</v>
      </c>
      <c r="G5" t="s">
        <v>55</v>
      </c>
      <c r="H5" t="s">
        <v>99</v>
      </c>
    </row>
    <row r="23" spans="5:5" x14ac:dyDescent="0.3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88671875" defaultRowHeight="14.4" x14ac:dyDescent="0.3"/>
  <sheetData>
    <row r="2" spans="2:13" x14ac:dyDescent="0.3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">
      <c r="B3" s="13"/>
      <c r="D3" s="14" t="s">
        <v>54</v>
      </c>
      <c r="E3" s="15"/>
      <c r="F3" s="12" t="str">
        <f>Cover!B10</f>
        <v>a3e33053-ab7a-4979-be82-d14c6e5eecef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tabSelected="1" workbookViewId="0">
      <selection activeCell="B4" sqref="B4"/>
    </sheetView>
  </sheetViews>
  <sheetFormatPr defaultColWidth="10.88671875" defaultRowHeight="14.4" x14ac:dyDescent="0.3"/>
  <sheetData>
    <row r="2" spans="2:16" x14ac:dyDescent="0.3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">
      <c r="B3" t="str">
        <f>Cover!B9</f>
        <v>ODYM_T6_RecyclingSectorSplit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2025-08-01T20:45:53Z</dcterms:modified>
</cp:coreProperties>
</file>