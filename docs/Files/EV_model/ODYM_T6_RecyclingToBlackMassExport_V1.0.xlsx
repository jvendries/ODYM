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082546B6-F2CD-4106-8618-FB11C263AFD6}" xr6:coauthVersionLast="47" xr6:coauthVersionMax="47" xr10:uidLastSave="{00000000-0000-0000-0000-000000000000}"/>
  <bookViews>
    <workbookView xWindow="3960" yWindow="1290" windowWidth="14400" windowHeight="727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<sst xmlns="http://schemas.openxmlformats.org/spreadsheetml/2006/main" count="154" uniqueCount="104">
  <si>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</si>
  <si>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</si>
  <si>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</si>
  <si>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</si>
  <si>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</si>
  <si>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</si>
  <si>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</si>
  <si>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</si>
  <si>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</si>
  <si>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</si>
  <si>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</si>
  <si>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</si>
  <si>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</si>
  <si>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</si>
  <si>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</si>
  <si>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</si>
  <si>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</si>
  <si>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</si>
  <si>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</si>
  <si>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</si>
  <si>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</si>
  <si>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</si>
  <si>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</si>
  <si>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</si>
  <si>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</si>
  <si>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</si>
  <si>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</si>
  <si>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</si>
  <si>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</si>
  <si>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</si>
  <si>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</si>
  <si>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</si>
  <si>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</si>
  <si>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</si>
  <si>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</si>
  <si>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</si>
  <si>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</si>
  <si>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</si>
  <si>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</si>
  <si>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</si>
  <si>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</si>
  <si>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</si>
  <si>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</si>
  <si>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</si>
  <si>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</si>
  <si>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</si>
  <si>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</si>
  <si>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</si>
  <si>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</si>
  <si>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</si>
  <si>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</si>
  <si>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</si>
  <si>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</si>
  <si>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</si>
  <si>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</si>
  <si>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</si>
  <si>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</si>
  <si>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</si>
  <si>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</si>
  <si>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</si>
  <si>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</si>
  <si>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</si>
  <si>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</si>
  <si>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</si>
  <si>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</si>
  <si>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</si>
  <si>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</si>
  <si>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</si>
  <si>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</si>
  <si>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</si>
  <si>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</si>
  <si>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</si>
  <si>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</si>
  <si>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</si>
  <si>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</si>
  <si>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</si>
  <si>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</si>
  <si>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</si>
  <si>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</si>
  <si>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</si>
  <si>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</si>
  <si>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</si>
  <si>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</si>
  <si>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</si>
  <si>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</si>
  <si>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</si>
  <si>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</si>
  <si>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</si>
  <si>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</si>
  <si>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</si>
  <si>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</si>
  <si>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</si>
  <si>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</si>
  <si>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</si>
  <si>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</si>
  <si>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EV LIB</t>
  </si>
  <si>
    <t>other EV LIB products</t>
  </si>
  <si>
    <t>Share of material going to non battery production different end-use sectors</t>
  </si>
  <si>
    <t>For each scenario, sum of all End_Use_Sector values (i.e., EV LIB and Other EV LIB Products) need to sum up to 1 between the following flows: Exported black mass, Recycled material to other production, Recycled material to export, and recycled material to domestic production</t>
  </si>
  <si>
    <t>ODYM_T6_RecyclingToBlackMassExport</t>
  </si>
  <si>
    <t>Currently the above values are, respectively: [0+0] + [0+0.7] + [0+0] + [0.3+0]</t>
  </si>
  <si>
    <t>Preprocessing and recycling</t>
  </si>
  <si>
    <t>a3e33053-ab7a-4979-be82-d14c6e5eeceg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</si>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</sst>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99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97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101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99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102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103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="69" zoomScaleNormal="100" workbookViewId="0">
      <selection activeCell="H2" sqref="H2:H5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95</v>
      </c>
      <c r="D2">
        <v>0</v>
      </c>
      <c r="E2">
        <v>1</v>
      </c>
      <c r="F2">
        <v>1</v>
      </c>
      <c r="G2" t="s">
        <v>55</v>
      </c>
      <c r="H2" t="s">
        <v>98</v>
      </c>
    </row>
    <row r="3" spans="1:8" x14ac:dyDescent="0.35">
      <c r="A3" t="s">
        <v>56</v>
      </c>
      <c r="B3" t="s">
        <v>93</v>
      </c>
      <c r="C3" s="16" t="s">
        <v>96</v>
      </c>
      <c r="D3">
        <v>0</v>
      </c>
      <c r="E3">
        <v>1</v>
      </c>
      <c r="F3">
        <v>1</v>
      </c>
      <c r="G3" t="s">
        <v>55</v>
      </c>
      <c r="H3" t="s">
        <v>100</v>
      </c>
    </row>
    <row r="4" spans="1:8" x14ac:dyDescent="0.35">
      <c r="A4" t="s">
        <v>56</v>
      </c>
      <c r="B4" t="s">
        <v>94</v>
      </c>
      <c r="C4" s="16" t="s">
        <v>95</v>
      </c>
      <c r="D4">
        <v>0</v>
      </c>
      <c r="E4">
        <v>1</v>
      </c>
      <c r="F4">
        <v>1</v>
      </c>
      <c r="G4" t="s">
        <v>55</v>
      </c>
      <c r="H4" t="s">
        <v>98</v>
      </c>
    </row>
    <row r="5" spans="1:8" x14ac:dyDescent="0.35">
      <c r="A5" t="s">
        <v>56</v>
      </c>
      <c r="B5" t="s">
        <v>94</v>
      </c>
      <c r="C5" s="16" t="s">
        <v>96</v>
      </c>
      <c r="D5">
        <v>0</v>
      </c>
      <c r="E5">
        <v>1</v>
      </c>
      <c r="F5">
        <v>1</v>
      </c>
      <c r="G5" t="s">
        <v>55</v>
      </c>
      <c r="H5" t="s">
        <v>100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/>
      <c r="D3" s="14" t="s">
        <v>54</v>
      </c>
      <c r="E3" s="15"/>
      <c r="F3" s="12" t="str">
        <f>Cover!B10</f>
        <v>a3e33053-ab7a-4979-be82-d14c6e5eeceg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0.90625" defaultRowHeight="14.5" x14ac:dyDescent="0.35"/>
  <cols>
    <col min="2" max="2" width="34.08984375" bestFit="1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Cover!B9</f>
        <v>ODYM_T6_RecyclingToBlackMassExport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2025-08-15T13:34:42Z</dcterms:modified>
</cp:coreProperties>
</file>