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E7CD070-9635-40C4-B620-698747318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<sst xmlns="http://schemas.openxmlformats.org/spreadsheetml/2006/main" count="144" uniqueCount="103">
  <si>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</si>
  <si>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</si>
  <si>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</si>
  <si>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</si>
  <si>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</si>
  <si>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</si>
  <si>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</si>
  <si>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</si>
  <si>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</si>
  <si>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</si>
  <si>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</si>
  <si>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</si>
  <si>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</si>
  <si>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</si>
  <si>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</si>
  <si>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</si>
  <si>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</si>
  <si>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</si>
  <si>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</si>
  <si>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</si>
  <si>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</si>
  <si>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</si>
  <si>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</si>
  <si>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</si>
  <si>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</si>
  <si>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</si>
  <si>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</si>
  <si>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</si>
  <si>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</si>
  <si>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</si>
  <si>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</si>
  <si>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</si>
  <si>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</si>
  <si>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</si>
  <si>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</si>
  <si>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</si>
  <si>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</si>
  <si>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</si>
  <si>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</si>
  <si>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</si>
  <si>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</si>
  <si>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</si>
  <si>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</si>
  <si>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</si>
  <si>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</si>
  <si>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</si>
  <si>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</si>
  <si>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</si>
  <si>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</si>
  <si>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</si>
  <si>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</si>
  <si>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</si>
  <si>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</si>
  <si>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</si>
  <si>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</si>
  <si>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</si>
  <si>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</si>
  <si>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</si>
  <si>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</si>
  <si>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</si>
  <si>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</si>
  <si>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</si>
  <si>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</si>
  <si>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</si>
  <si>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</si>
  <si>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</si>
  <si>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</si>
  <si>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</si>
  <si>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</si>
  <si>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</si>
  <si>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</si>
  <si>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</si>
  <si>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</si>
  <si>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</si>
  <si>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</si>
  <si>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</si>
  <si>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</si>
  <si>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</si>
  <si>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</si>
  <si>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</si>
  <si>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</si>
  <si>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</si>
  <si>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</si>
  <si>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</si>
  <si>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</si>
  <si>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</si>
  <si>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</si>
  <si>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</si>
  <si>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</si>
  <si>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</si>
  <si>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</si>
  <si>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</si>
  <si>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38ed7154-01c2-4d21-8128-df10bbd150a5</t>
  </si>
  <si>
    <t>Share of input scrap that is recovered as secondary material</t>
  </si>
  <si>
    <t>ODYM_Classifications_LL</t>
  </si>
  <si>
    <t>LIB</t>
  </si>
  <si>
    <t>LIB scrap</t>
  </si>
  <si>
    <t>Other scrap</t>
  </si>
  <si>
    <t>LIB materials</t>
  </si>
  <si>
    <t>Preprocessing and recycling</t>
  </si>
  <si>
    <t>SortingToRecyclingRate</t>
  </si>
  <si>
    <t>SortingToRrefurbishmentRate + SortingToRecyclingRate = .66+.34</t>
  </si>
  <si>
    <t>ODYM_T6_SortingToRecyclingRate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</si>
</sst>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9" sqref="B9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99</v>
      </c>
      <c r="E8" s="1" t="s">
        <v>16</v>
      </c>
      <c r="H8" t="s">
        <v>23</v>
      </c>
    </row>
    <row r="9" spans="1:8" x14ac:dyDescent="0.3">
      <c r="A9" s="2" t="s">
        <v>24</v>
      </c>
      <c r="B9" s="8" t="s">
        <v>102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94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88671875" defaultRowHeight="14.4" x14ac:dyDescent="0.3"/>
  <cols>
    <col min="2" max="2" width="36.77734375" bestFit="1" customWidth="1"/>
    <col min="3" max="3" width="20.6640625" bestFit="1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s="1" t="s">
        <v>96</v>
      </c>
      <c r="C2" t="s">
        <v>95</v>
      </c>
      <c r="D2">
        <v>0.34</v>
      </c>
      <c r="E2">
        <v>1</v>
      </c>
      <c r="F2">
        <v>1</v>
      </c>
      <c r="G2" t="s">
        <v>55</v>
      </c>
      <c r="H2" t="s">
        <v>101</v>
      </c>
    </row>
    <row r="3" spans="1:8" x14ac:dyDescent="0.3">
      <c r="A3" t="s">
        <v>56</v>
      </c>
      <c r="B3" t="s">
        <v>97</v>
      </c>
      <c r="C3" t="s">
        <v>98</v>
      </c>
      <c r="D3">
        <v>0.34</v>
      </c>
      <c r="E3">
        <v>1</v>
      </c>
      <c r="F3">
        <v>1</v>
      </c>
      <c r="G3" t="s">
        <v>55</v>
      </c>
      <c r="H3" t="s">
        <v>101</v>
      </c>
    </row>
    <row r="4" spans="1:8" x14ac:dyDescent="0.3">
      <c r="B4" s="1"/>
    </row>
    <row r="5" spans="1:8" x14ac:dyDescent="0.3">
      <c r="B5" s="1"/>
    </row>
    <row r="6" spans="1:8" x14ac:dyDescent="0.3">
      <c r="B6" s="1"/>
    </row>
    <row r="7" spans="1:8" x14ac:dyDescent="0.3">
      <c r="B7" s="1"/>
    </row>
    <row r="8" spans="1:8" x14ac:dyDescent="0.3">
      <c r="B8" s="1"/>
    </row>
    <row r="33" spans="5:5" x14ac:dyDescent="0.3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>
        <v>43344</v>
      </c>
      <c r="D3" s="14" t="s">
        <v>54</v>
      </c>
      <c r="E3" s="15"/>
      <c r="F3" s="12" t="str">
        <f>Cover!B10</f>
        <v>38ed7154-01c2-4d21-8128-df10bbd150a5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Cover!B3</f>
        <v>ODYM_T6_SortingToRecyclingRate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2025-07-31T23:26:39Z</dcterms:modified>
</cp:coreProperties>
</file>