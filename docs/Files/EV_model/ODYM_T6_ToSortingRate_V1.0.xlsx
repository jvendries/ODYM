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CCE405B3-D2B1-4A84-BCF9-34139E29A1C2}" xr6:coauthVersionLast="47" xr6:coauthVersionMax="47" xr10:uidLastSave="{00000000-0000-0000-0000-000000000000}"/>
  <bookViews>
    <workbookView xWindow="4780" yWindow="1150" windowWidth="14400" windowHeight="727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B3" i="5"/>
</calcChain>
</file>

<file path=xl/sharedStrings.xml><?xml version="1.0" encoding="utf-8"?>
<sst xmlns="http://schemas.openxmlformats.org/spreadsheetml/2006/main" count="151" uniqueCount="108">
  <si>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</si>
  <si>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</si>
  <si>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</si>
  <si>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</si>
  <si>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</si>
  <si>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</si>
  <si>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</si>
  <si>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</si>
  <si>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</si>
  <si>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</si>
  <si>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</si>
  <si>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</si>
  <si>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</si>
  <si>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</si>
  <si>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</si>
  <si>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</si>
  <si>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</si>
  <si>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</si>
  <si>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</si>
  <si>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</si>
  <si>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</si>
  <si>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</si>
  <si>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</si>
  <si>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</si>
  <si>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</si>
  <si>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</si>
  <si>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</si>
  <si>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</si>
  <si>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</si>
  <si>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</si>
  <si>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</si>
  <si>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</si>
  <si>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</si>
  <si>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</si>
  <si>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</si>
  <si>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</si>
  <si>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</si>
  <si>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</si>
  <si>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</si>
  <si>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</si>
  <si>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</si>
  <si>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</si>
  <si>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</si>
  <si>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</si>
  <si>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</si>
  <si>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</si>
  <si>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</si>
  <si>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</si>
  <si>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</si>
  <si>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</si>
  <si>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</si>
  <si>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</si>
  <si>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</si>
  <si>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</si>
  <si>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</si>
  <si>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</si>
  <si>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</si>
  <si>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</si>
  <si>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</si>
  <si>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</si>
  <si>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</si>
  <si>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</si>
  <si>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</si>
  <si>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</si>
  <si>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</si>
  <si>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</si>
  <si>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</si>
  <si>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</si>
  <si>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</si>
  <si>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</si>
  <si>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</si>
  <si>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</si>
  <si>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</si>
  <si>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</si>
  <si>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</si>
  <si>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</si>
  <si>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</si>
  <si>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</si>
  <si>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</si>
  <si>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</si>
  <si>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</si>
  <si>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</si>
  <si>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</si>
  <si>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</si>
  <si>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</si>
  <si>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</si>
  <si>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</si>
  <si>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</si>
  <si>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</si>
  <si>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</si>
  <si>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</si>
  <si>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</si>
  <si>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</si>
  <si>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</si>
  <si>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</si>
  <si>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V.02</t>
  </si>
  <si>
    <t>6213e899-8367-483a-8d09-a0c0831c22e9</t>
  </si>
  <si>
    <t>EV LIB</t>
  </si>
  <si>
    <t>LIB</t>
  </si>
  <si>
    <t>LIB scrap</t>
  </si>
  <si>
    <t>other EV LIB products</t>
  </si>
  <si>
    <t>LIB materials</t>
  </si>
  <si>
    <t>Other scrap</t>
  </si>
  <si>
    <t>ODYM_T6_ToSortingRate</t>
  </si>
  <si>
    <t>Share of after use flow going to Sorting</t>
  </si>
  <si>
    <t>Used battery collection</t>
  </si>
  <si>
    <t>To Sorting is .85; to used export is 0.05; to Landfill is the remainder, .1</t>
  </si>
  <si>
    <t>ODYM_Classifications_EV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</si>
</sst>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1.54296875" defaultRowHeight="14.5" x14ac:dyDescent="0.35"/>
  <cols>
    <col min="1" max="1" width="34.453125" bestFit="1" customWidth="1"/>
    <col min="2" max="2" width="20.9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95</v>
      </c>
      <c r="E2" s="1" t="s">
        <v>16</v>
      </c>
      <c r="H2" s="7" t="s">
        <v>17</v>
      </c>
    </row>
    <row r="3" spans="1:8" x14ac:dyDescent="0.35">
      <c r="A3" s="6" t="s">
        <v>18</v>
      </c>
      <c r="B3" s="16" t="s">
        <v>103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104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105</v>
      </c>
      <c r="E8" s="1" t="s">
        <v>16</v>
      </c>
      <c r="H8" t="s">
        <v>23</v>
      </c>
    </row>
    <row r="9" spans="1:8" x14ac:dyDescent="0.35">
      <c r="A9" s="2" t="s">
        <v>24</v>
      </c>
      <c r="B9" s="16" t="s">
        <v>103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96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107</v>
      </c>
      <c r="E15" s="1" t="s">
        <v>16</v>
      </c>
      <c r="H15" t="s">
        <v>37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56</v>
      </c>
      <c r="B23" t="s">
        <v>60</v>
      </c>
      <c r="C23" s="8" t="s">
        <v>11</v>
      </c>
      <c r="D23" t="s">
        <v>57</v>
      </c>
      <c r="E23" s="1" t="s">
        <v>16</v>
      </c>
      <c r="H23" t="s">
        <v>47</v>
      </c>
    </row>
    <row r="24" spans="1:8" x14ac:dyDescent="0.35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48</v>
      </c>
    </row>
    <row r="25" spans="1:8" x14ac:dyDescent="0.35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50</v>
      </c>
    </row>
    <row r="26" spans="1:8" x14ac:dyDescent="0.35">
      <c r="A26" s="8" t="s">
        <v>65</v>
      </c>
      <c r="B26" t="s">
        <v>66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I3" sqref="I3"/>
    </sheetView>
  </sheetViews>
  <sheetFormatPr defaultColWidth="11.54296875" defaultRowHeight="14.5" x14ac:dyDescent="0.35"/>
  <cols>
    <col min="2" max="2" width="23.36328125" customWidth="1"/>
    <col min="3" max="3" width="19.54296875" customWidth="1"/>
    <col min="4" max="4" width="24.9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9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56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55</v>
      </c>
      <c r="B2" s="17" t="s">
        <v>97</v>
      </c>
      <c r="C2" t="s">
        <v>98</v>
      </c>
      <c r="D2" s="1" t="s">
        <v>99</v>
      </c>
      <c r="E2">
        <v>0.85</v>
      </c>
      <c r="F2">
        <v>1</v>
      </c>
      <c r="G2">
        <v>1</v>
      </c>
      <c r="H2" t="s">
        <v>54</v>
      </c>
      <c r="I2" t="s">
        <v>106</v>
      </c>
    </row>
    <row r="3" spans="1:9" x14ac:dyDescent="0.35">
      <c r="A3" t="s">
        <v>55</v>
      </c>
      <c r="B3" s="17" t="s">
        <v>100</v>
      </c>
      <c r="C3" t="s">
        <v>101</v>
      </c>
      <c r="D3" s="1" t="s">
        <v>102</v>
      </c>
      <c r="E3">
        <v>0.85</v>
      </c>
      <c r="F3">
        <v>1</v>
      </c>
      <c r="G3">
        <v>1</v>
      </c>
      <c r="H3" t="s">
        <v>54</v>
      </c>
      <c r="I3" t="s">
        <v>106</v>
      </c>
    </row>
    <row r="4" spans="1:9" x14ac:dyDescent="0.35">
      <c r="D4" s="1"/>
    </row>
    <row r="5" spans="1:9" x14ac:dyDescent="0.35">
      <c r="D5" s="1"/>
    </row>
    <row r="6" spans="1:9" x14ac:dyDescent="0.35">
      <c r="D6" s="1"/>
    </row>
    <row r="7" spans="1:9" x14ac:dyDescent="0.35">
      <c r="D7" s="1"/>
    </row>
    <row r="8" spans="1:9" x14ac:dyDescent="0.35">
      <c r="D8" s="1"/>
    </row>
    <row r="9" spans="1:9" x14ac:dyDescent="0.35">
      <c r="D9" s="1"/>
    </row>
    <row r="10" spans="1:9" x14ac:dyDescent="0.35">
      <c r="D10" s="1"/>
      <c r="I10" t="s">
        <v>16</v>
      </c>
    </row>
    <row r="35" spans="6:6" x14ac:dyDescent="0.35">
      <c r="F35" s="1"/>
    </row>
  </sheetData>
  <phoneticPr fontId="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4" sqref="F4"/>
    </sheetView>
  </sheetViews>
  <sheetFormatPr defaultColWidth="11.54296875" defaultRowHeight="14.5" x14ac:dyDescent="0.35"/>
  <sheetData>
    <row r="2" spans="2:13" x14ac:dyDescent="0.35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5">
      <c r="B3" s="13">
        <v>43344</v>
      </c>
      <c r="D3" s="14" t="s">
        <v>53</v>
      </c>
      <c r="E3" s="15"/>
      <c r="F3" s="12" t="str">
        <f>Cover!B10</f>
        <v>6213e899-8367-483a-8d09-a0c0831c22e9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6" sqref="B6"/>
    </sheetView>
  </sheetViews>
  <sheetFormatPr defaultColWidth="11.54296875" defaultRowHeight="14.5" x14ac:dyDescent="0.35"/>
  <sheetData>
    <row r="2" spans="2:16" x14ac:dyDescent="0.35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5">
      <c r="B3" s="16" t="str">
        <f>Cover!B3</f>
        <v>ODYM_T6_ToSortingRate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2025-08-15T13:12:35Z</dcterms:modified>
</cp:coreProperties>
</file>