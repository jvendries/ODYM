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B14E5D34-7E34-49A9-A1DB-5459ACE07FE8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Cover" sheetId="3" r:id="rId1"/>
    <sheet name="Values_Master" sheetId="2" r:id="rId2"/>
    <sheet name="log" sheetId="4" r:id="rId3"/>
    <sheet name="ref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5" l="1"/>
  <c r="F3" i="4"/>
</calcChain>
</file>

<file path=xl/sharedStrings.xml><?xml version="1.0" encoding="utf-8"?>
<sst xmlns="http://schemas.openxmlformats.org/spreadsheetml/2006/main" count="154" uniqueCount="104">
  <si>
    <t>Format_Version</t>
  </si>
  <si>
    <t>Dataset_Unit</t>
  </si>
  <si>
    <t>Dataset_RecordType</t>
  </si>
  <si>
    <t>stats_array string</t>
  </si>
  <si>
    <t>LIST</t>
  </si>
  <si>
    <t>Dataset_Uncertainty</t>
  </si>
  <si>
    <t>Dataset_Comment</t>
  </si>
  <si>
    <t>DATA</t>
  </si>
  <si>
    <t>DATA_Info</t>
  </si>
  <si>
    <t>No_Rows</t>
  </si>
  <si>
    <t>Aspects_classifications</t>
  </si>
  <si>
    <t>value</t>
  </si>
  <si>
    <t>unit nominator</t>
  </si>
  <si>
    <t>unit denominator</t>
  </si>
  <si>
    <t>stats_array_string</t>
  </si>
  <si>
    <t>comment</t>
  </si>
  <si>
    <t xml:space="preserve"> </t>
  </si>
  <si>
    <t># Specify the version number of the formatting used for this file</t>
  </si>
  <si>
    <t>Dataset_Name</t>
  </si>
  <si>
    <t># Name of dataset, short and descriptive</t>
  </si>
  <si>
    <t>Dataset_Description</t>
  </si>
  <si>
    <t># Description of dataset</t>
  </si>
  <si>
    <t>Dataset_System_Location</t>
  </si>
  <si>
    <t># Points to processes and flows in a general system definition, optional</t>
  </si>
  <si>
    <t>Dataset_ID</t>
  </si>
  <si>
    <t>Dataset_UUID</t>
  </si>
  <si>
    <t># UUID of dataset, can be generated manually, for archiving and reference purposes</t>
  </si>
  <si>
    <t>Date created</t>
  </si>
  <si>
    <t># Date when dataset was first obtained/created/released</t>
  </si>
  <si>
    <t>Last modified</t>
  </si>
  <si>
    <t># Date of last modification</t>
  </si>
  <si>
    <t>Last modified by</t>
  </si>
  <si>
    <t>Pauliuk</t>
  </si>
  <si>
    <t># Name of researcher responsible for last modification</t>
  </si>
  <si>
    <t>Dataset_Version</t>
  </si>
  <si>
    <t># Version number of dataset</t>
  </si>
  <si>
    <t>Dataset_Classification_version_number</t>
  </si>
  <si>
    <t># Version number of classifications used for this dataset</t>
  </si>
  <si>
    <t># Two types are supported: list and table</t>
  </si>
  <si>
    <t>ODYM-RECC Parameter File</t>
  </si>
  <si>
    <t># Fields highlighted in grey are mandatory. Fields highlighted in blue are linked to other tables and databases. Order of fields and field naming is fixed, do not change!</t>
  </si>
  <si>
    <t>V0.2</t>
  </si>
  <si>
    <t># Unit of dataset, cf. UNITS sheet in classification master file, GLOBAL, LIST, or TABLE</t>
  </si>
  <si>
    <t># Uncertainty in form of stats_array string (http://stats-arrays.readthedocs.io/en/latest/), GLOBAL, LIST, or TABLE</t>
  </si>
  <si>
    <t># Comment, GLOBAL, LIST, or TABLE</t>
  </si>
  <si>
    <t># ID of dataset, optional, establish link to IEDI</t>
  </si>
  <si>
    <t>[Empty on purpose]</t>
  </si>
  <si>
    <t>Aspects_Meaning</t>
  </si>
  <si>
    <t xml:space="preserve"># Aspects: Specify aspects in order of appearance in data table. </t>
  </si>
  <si>
    <t># Aspects_Meaning: Describe meaning of each aspect</t>
  </si>
  <si>
    <t>String describing uncertainty distribution (http://stats-arrays.readthedocs.io/en/latest/)</t>
  </si>
  <si>
    <t># DATA: Specify the different quantification layers given: Value, Error, etc, or different scenarios. Must be identical to column names in sheet "Values_Master"</t>
  </si>
  <si>
    <t>Comment on data proxy choice</t>
  </si>
  <si>
    <t># DATA_Info: Describe each data layer</t>
  </si>
  <si>
    <t>V1.0</t>
  </si>
  <si>
    <t>none</t>
  </si>
  <si>
    <t>BAU</t>
  </si>
  <si>
    <t>Scenario</t>
  </si>
  <si>
    <t>value in 1 (%)</t>
  </si>
  <si>
    <t>Unit denominator: 1</t>
  </si>
  <si>
    <t>scenario</t>
  </si>
  <si>
    <t>End_Use_Sectors</t>
  </si>
  <si>
    <t>end use sectors/product groups</t>
  </si>
  <si>
    <t>Engineering_Materials</t>
  </si>
  <si>
    <t>materials</t>
  </si>
  <si>
    <t>Date</t>
  </si>
  <si>
    <t>Version number before edit</t>
  </si>
  <si>
    <t>Version number after edit</t>
  </si>
  <si>
    <t>old UUID</t>
  </si>
  <si>
    <t>new UUID</t>
  </si>
  <si>
    <t>Who</t>
  </si>
  <si>
    <t>What</t>
  </si>
  <si>
    <t>Ref1</t>
  </si>
  <si>
    <t>Ref2</t>
  </si>
  <si>
    <t>Ref3</t>
  </si>
  <si>
    <t>Ref4</t>
  </si>
  <si>
    <t>Ref5</t>
  </si>
  <si>
    <t>sp</t>
  </si>
  <si>
    <t>Dataset</t>
  </si>
  <si>
    <t>literature_id</t>
  </si>
  <si>
    <t>literature_key</t>
  </si>
  <si>
    <t>iedc_dataset_name</t>
  </si>
  <si>
    <t>authors</t>
  </si>
  <si>
    <t>title</t>
  </si>
  <si>
    <t>year</t>
  </si>
  <si>
    <t>journal_outlet_institution</t>
  </si>
  <si>
    <t>city</t>
  </si>
  <si>
    <t>DOI</t>
  </si>
  <si>
    <t>URL</t>
  </si>
  <si>
    <t>copyright</t>
  </si>
  <si>
    <t>other</t>
  </si>
  <si>
    <t>notes</t>
  </si>
  <si>
    <t>Share of material going to different end-use sectors</t>
  </si>
  <si>
    <t>LIB</t>
  </si>
  <si>
    <t>LIB materials</t>
  </si>
  <si>
    <t>Share of material going to non battery production different end-use sectors</t>
  </si>
  <si>
    <t>For each scenario, sum of all End_Use_Sector values (i.e., EV LIB and Other EV LIB Products) need to sum up to 1 between the following flows: Exported black mass, Recycled material to other production, Recycled material to export, and recycled material to domestic production</t>
  </si>
  <si>
    <t>Currently the above values are, respectively: [0+0] + [0+0.7] + [0+0] + [0.3+0]</t>
  </si>
  <si>
    <t>Preprocessing and recycling</t>
  </si>
  <si>
    <t>ODYM_T6_RecyclingToRecycledMaterialExport</t>
  </si>
  <si>
    <t>a3e33053-ab7a-4979-be82-d14c6e5eecei</t>
  </si>
  <si>
    <t>ODYM_Classifications_MF</t>
  </si>
  <si>
    <t>MF LIB</t>
  </si>
  <si>
    <t>other MF LIB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</si>
</sst>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7">
    <xf numFmtId="0" fontId="0" fillId="0" borderId="0" xfId="0"/>
    <xf numFmtId="0" fontId="0" fillId="0" borderId="0" xfId="0" quotePrefix="1"/>
    <xf numFmtId="0" fontId="1" fillId="0" borderId="0" xfId="0" applyFont="1"/>
    <xf numFmtId="0" fontId="3" fillId="0" borderId="0" xfId="0" applyFont="1"/>
    <xf numFmtId="0" fontId="5" fillId="0" borderId="0" xfId="0" applyFont="1"/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2" fillId="0" borderId="0" xfId="0" applyFont="1"/>
    <xf numFmtId="0" fontId="0" fillId="2" borderId="0" xfId="0" applyFill="1"/>
    <xf numFmtId="0" fontId="0" fillId="2" borderId="0" xfId="0" quotePrefix="1" applyFill="1"/>
    <xf numFmtId="0" fontId="4" fillId="3" borderId="0" xfId="0" applyFont="1" applyFill="1"/>
    <xf numFmtId="0" fontId="3" fillId="2" borderId="0" xfId="0" applyFont="1" applyFill="1" applyAlignment="1">
      <alignment horizontal="center"/>
    </xf>
    <xf numFmtId="11" fontId="0" fillId="0" borderId="0" xfId="0" applyNumberFormat="1"/>
    <xf numFmtId="14" fontId="0" fillId="0" borderId="0" xfId="0" applyNumberFormat="1"/>
    <xf numFmtId="16" fontId="0" fillId="0" borderId="0" xfId="0" applyNumberFormat="1"/>
    <xf numFmtId="0" fontId="6" fillId="0" borderId="0" xfId="1"/>
    <xf numFmtId="0" fontId="0" fillId="0" borderId="0" xfId="0" applyAlignment="1">
      <alignment horizontal="left"/>
    </xf>
  </cellXfs>
  <cellStyles count="2">
    <cellStyle name="Normal" xfId="0" builtinId="0"/>
    <cellStyle name="Normal 2" xfId="1" xr:uid="{00000000-0005-0000-0000-000000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workbookViewId="0">
      <selection activeCell="B16" sqref="B16"/>
    </sheetView>
  </sheetViews>
  <sheetFormatPr defaultColWidth="10.90625" defaultRowHeight="14.5" x14ac:dyDescent="0.35"/>
  <cols>
    <col min="1" max="1" width="34.453125" bestFit="1" customWidth="1"/>
    <col min="2" max="2" width="20.81640625" customWidth="1"/>
    <col min="3" max="3" width="19.1796875" customWidth="1"/>
    <col min="4" max="4" width="31.453125" customWidth="1"/>
  </cols>
  <sheetData>
    <row r="1" spans="1:8" x14ac:dyDescent="0.35">
      <c r="A1" s="5" t="s">
        <v>39</v>
      </c>
      <c r="E1" s="1" t="s">
        <v>16</v>
      </c>
      <c r="H1" s="3" t="s">
        <v>40</v>
      </c>
    </row>
    <row r="2" spans="1:8" x14ac:dyDescent="0.35">
      <c r="A2" s="6" t="s">
        <v>0</v>
      </c>
      <c r="B2" s="1" t="s">
        <v>41</v>
      </c>
      <c r="E2" s="1" t="s">
        <v>16</v>
      </c>
      <c r="H2" s="7" t="s">
        <v>17</v>
      </c>
    </row>
    <row r="3" spans="1:8" x14ac:dyDescent="0.35">
      <c r="A3" s="6" t="s">
        <v>18</v>
      </c>
      <c r="B3" t="s">
        <v>99</v>
      </c>
      <c r="E3" s="1" t="s">
        <v>16</v>
      </c>
      <c r="H3" s="7" t="s">
        <v>19</v>
      </c>
    </row>
    <row r="4" spans="1:8" x14ac:dyDescent="0.35">
      <c r="A4" s="6" t="s">
        <v>20</v>
      </c>
      <c r="B4" t="s">
        <v>95</v>
      </c>
      <c r="E4" s="1" t="s">
        <v>16</v>
      </c>
      <c r="H4" t="s">
        <v>21</v>
      </c>
    </row>
    <row r="5" spans="1:8" x14ac:dyDescent="0.35">
      <c r="A5" s="6" t="s">
        <v>1</v>
      </c>
      <c r="B5" s="1" t="s">
        <v>4</v>
      </c>
      <c r="E5" s="1" t="s">
        <v>16</v>
      </c>
      <c r="H5" t="s">
        <v>42</v>
      </c>
    </row>
    <row r="6" spans="1:8" x14ac:dyDescent="0.35">
      <c r="A6" s="6" t="s">
        <v>5</v>
      </c>
      <c r="B6" s="1" t="s">
        <v>4</v>
      </c>
      <c r="E6" s="1" t="s">
        <v>16</v>
      </c>
      <c r="H6" t="s">
        <v>43</v>
      </c>
    </row>
    <row r="7" spans="1:8" x14ac:dyDescent="0.35">
      <c r="A7" s="6" t="s">
        <v>6</v>
      </c>
      <c r="B7" s="1" t="s">
        <v>4</v>
      </c>
      <c r="E7" s="1" t="s">
        <v>16</v>
      </c>
      <c r="H7" t="s">
        <v>44</v>
      </c>
    </row>
    <row r="8" spans="1:8" x14ac:dyDescent="0.35">
      <c r="A8" s="2" t="s">
        <v>22</v>
      </c>
      <c r="B8" t="s">
        <v>98</v>
      </c>
      <c r="E8" s="1" t="s">
        <v>16</v>
      </c>
      <c r="H8" t="s">
        <v>23</v>
      </c>
    </row>
    <row r="9" spans="1:8" x14ac:dyDescent="0.35">
      <c r="A9" s="2" t="s">
        <v>24</v>
      </c>
      <c r="B9" t="s">
        <v>99</v>
      </c>
      <c r="E9" s="1" t="s">
        <v>16</v>
      </c>
      <c r="H9" t="s">
        <v>45</v>
      </c>
    </row>
    <row r="10" spans="1:8" x14ac:dyDescent="0.35">
      <c r="A10" s="6" t="s">
        <v>25</v>
      </c>
      <c r="B10" s="12" t="s">
        <v>100</v>
      </c>
      <c r="E10" s="1" t="s">
        <v>16</v>
      </c>
      <c r="H10" t="s">
        <v>26</v>
      </c>
    </row>
    <row r="11" spans="1:8" x14ac:dyDescent="0.35">
      <c r="A11" s="2" t="s">
        <v>27</v>
      </c>
      <c r="B11" s="13">
        <v>43344</v>
      </c>
      <c r="E11" s="1" t="s">
        <v>16</v>
      </c>
      <c r="H11" t="s">
        <v>28</v>
      </c>
    </row>
    <row r="12" spans="1:8" x14ac:dyDescent="0.35">
      <c r="A12" s="6" t="s">
        <v>29</v>
      </c>
      <c r="B12" s="13">
        <v>43344</v>
      </c>
      <c r="E12" s="1" t="s">
        <v>16</v>
      </c>
      <c r="H12" t="s">
        <v>30</v>
      </c>
    </row>
    <row r="13" spans="1:8" x14ac:dyDescent="0.35">
      <c r="A13" s="6" t="s">
        <v>31</v>
      </c>
      <c r="B13" t="s">
        <v>32</v>
      </c>
      <c r="E13" s="1" t="s">
        <v>16</v>
      </c>
      <c r="H13" t="s">
        <v>33</v>
      </c>
    </row>
    <row r="14" spans="1:8" x14ac:dyDescent="0.35">
      <c r="A14" s="6" t="s">
        <v>34</v>
      </c>
      <c r="B14" s="9" t="s">
        <v>54</v>
      </c>
      <c r="E14" s="1" t="s">
        <v>16</v>
      </c>
      <c r="H14" t="s">
        <v>35</v>
      </c>
    </row>
    <row r="15" spans="1:8" x14ac:dyDescent="0.35">
      <c r="A15" s="6" t="s">
        <v>36</v>
      </c>
      <c r="B15" s="8" t="s">
        <v>101</v>
      </c>
      <c r="E15" s="1" t="s">
        <v>16</v>
      </c>
      <c r="H15" t="s">
        <v>37</v>
      </c>
    </row>
    <row r="16" spans="1:8" x14ac:dyDescent="0.35">
      <c r="A16" s="2" t="s">
        <v>46</v>
      </c>
      <c r="E16" s="1"/>
    </row>
    <row r="17" spans="1:8" x14ac:dyDescent="0.35">
      <c r="A17" s="2" t="s">
        <v>46</v>
      </c>
      <c r="E17" s="1"/>
    </row>
    <row r="18" spans="1:8" x14ac:dyDescent="0.35">
      <c r="A18" s="2" t="s">
        <v>46</v>
      </c>
      <c r="E18" s="1"/>
    </row>
    <row r="19" spans="1:8" x14ac:dyDescent="0.35">
      <c r="A19" s="2" t="s">
        <v>46</v>
      </c>
      <c r="E19" s="1"/>
    </row>
    <row r="20" spans="1:8" x14ac:dyDescent="0.35">
      <c r="A20" s="2" t="s">
        <v>46</v>
      </c>
      <c r="E20" s="1"/>
    </row>
    <row r="21" spans="1:8" x14ac:dyDescent="0.35">
      <c r="A21" s="6" t="s">
        <v>2</v>
      </c>
      <c r="B21" s="5" t="s">
        <v>4</v>
      </c>
      <c r="C21" s="10" t="s">
        <v>9</v>
      </c>
      <c r="D21" s="11">
        <v>16</v>
      </c>
      <c r="E21" s="1" t="s">
        <v>16</v>
      </c>
      <c r="H21" t="s">
        <v>38</v>
      </c>
    </row>
    <row r="22" spans="1:8" x14ac:dyDescent="0.35">
      <c r="A22" s="6" t="s">
        <v>10</v>
      </c>
      <c r="B22" s="6" t="s">
        <v>47</v>
      </c>
      <c r="C22" s="6" t="s">
        <v>7</v>
      </c>
      <c r="D22" s="6" t="s">
        <v>8</v>
      </c>
      <c r="E22" s="1" t="s">
        <v>16</v>
      </c>
    </row>
    <row r="23" spans="1:8" x14ac:dyDescent="0.35">
      <c r="A23" s="8" t="s">
        <v>57</v>
      </c>
      <c r="B23" t="s">
        <v>60</v>
      </c>
      <c r="C23" s="8" t="s">
        <v>11</v>
      </c>
      <c r="D23" t="s">
        <v>92</v>
      </c>
      <c r="E23" s="1" t="s">
        <v>16</v>
      </c>
      <c r="H23" t="s">
        <v>48</v>
      </c>
    </row>
    <row r="24" spans="1:8" x14ac:dyDescent="0.35">
      <c r="A24" s="8" t="s">
        <v>63</v>
      </c>
      <c r="B24" t="s">
        <v>64</v>
      </c>
      <c r="C24" s="8" t="s">
        <v>12</v>
      </c>
      <c r="D24" t="s">
        <v>58</v>
      </c>
      <c r="E24" s="1" t="s">
        <v>16</v>
      </c>
      <c r="H24" s="3" t="s">
        <v>49</v>
      </c>
    </row>
    <row r="25" spans="1:8" x14ac:dyDescent="0.35">
      <c r="A25" s="8" t="s">
        <v>61</v>
      </c>
      <c r="B25" t="s">
        <v>62</v>
      </c>
      <c r="C25" s="8" t="s">
        <v>13</v>
      </c>
      <c r="D25" t="s">
        <v>59</v>
      </c>
      <c r="E25" s="1" t="s">
        <v>16</v>
      </c>
      <c r="H25" s="3" t="s">
        <v>51</v>
      </c>
    </row>
    <row r="26" spans="1:8" x14ac:dyDescent="0.35">
      <c r="C26" s="8" t="s">
        <v>14</v>
      </c>
      <c r="D26" t="s">
        <v>50</v>
      </c>
      <c r="E26" s="1" t="s">
        <v>16</v>
      </c>
      <c r="H26" t="s">
        <v>53</v>
      </c>
    </row>
    <row r="27" spans="1:8" x14ac:dyDescent="0.35">
      <c r="C27" s="8" t="s">
        <v>15</v>
      </c>
      <c r="D27" t="s">
        <v>52</v>
      </c>
      <c r="E27" s="1" t="s">
        <v>16</v>
      </c>
    </row>
    <row r="28" spans="1:8" x14ac:dyDescent="0.35">
      <c r="E28" s="1" t="s">
        <v>16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3"/>
  <sheetViews>
    <sheetView tabSelected="1" zoomScale="69" zoomScaleNormal="100" workbookViewId="0">
      <selection activeCell="C6" sqref="C6"/>
    </sheetView>
  </sheetViews>
  <sheetFormatPr defaultColWidth="10.90625" defaultRowHeight="14.5" x14ac:dyDescent="0.35"/>
  <cols>
    <col min="1" max="1" width="7.81640625" bestFit="1" customWidth="1"/>
    <col min="2" max="2" width="20.6328125" bestFit="1" customWidth="1"/>
    <col min="3" max="3" width="23.36328125" customWidth="1"/>
    <col min="4" max="4" width="15.453125" bestFit="1" customWidth="1"/>
    <col min="5" max="6" width="17.6328125" bestFit="1" customWidth="1"/>
    <col min="7" max="7" width="30.08984375" bestFit="1" customWidth="1"/>
    <col min="8" max="8" width="11.36328125" customWidth="1"/>
    <col min="9" max="9" width="13.81640625" bestFit="1" customWidth="1"/>
    <col min="10" max="10" width="12" bestFit="1" customWidth="1"/>
    <col min="11" max="11" width="15.81640625" bestFit="1" customWidth="1"/>
  </cols>
  <sheetData>
    <row r="1" spans="1:8" x14ac:dyDescent="0.35">
      <c r="A1" s="2" t="s">
        <v>57</v>
      </c>
      <c r="B1" s="2" t="s">
        <v>63</v>
      </c>
      <c r="C1" s="2" t="s">
        <v>61</v>
      </c>
      <c r="D1" s="4" t="s">
        <v>11</v>
      </c>
      <c r="E1" s="4" t="s">
        <v>12</v>
      </c>
      <c r="F1" s="4" t="s">
        <v>13</v>
      </c>
      <c r="G1" s="4" t="s">
        <v>3</v>
      </c>
      <c r="H1" s="4" t="s">
        <v>15</v>
      </c>
    </row>
    <row r="2" spans="1:8" x14ac:dyDescent="0.35">
      <c r="A2" t="s">
        <v>56</v>
      </c>
      <c r="B2" t="s">
        <v>93</v>
      </c>
      <c r="C2" s="16" t="s">
        <v>102</v>
      </c>
      <c r="D2">
        <v>0</v>
      </c>
      <c r="E2">
        <v>1</v>
      </c>
      <c r="F2">
        <v>1</v>
      </c>
      <c r="G2" t="s">
        <v>55</v>
      </c>
      <c r="H2" t="s">
        <v>96</v>
      </c>
    </row>
    <row r="3" spans="1:8" x14ac:dyDescent="0.35">
      <c r="A3" t="s">
        <v>56</v>
      </c>
      <c r="B3" t="s">
        <v>93</v>
      </c>
      <c r="C3" s="16" t="s">
        <v>103</v>
      </c>
      <c r="D3">
        <v>0</v>
      </c>
      <c r="E3">
        <v>1</v>
      </c>
      <c r="F3">
        <v>1</v>
      </c>
      <c r="G3" t="s">
        <v>55</v>
      </c>
      <c r="H3" t="s">
        <v>97</v>
      </c>
    </row>
    <row r="4" spans="1:8" x14ac:dyDescent="0.35">
      <c r="A4" t="s">
        <v>56</v>
      </c>
      <c r="B4" t="s">
        <v>94</v>
      </c>
      <c r="C4" s="16" t="s">
        <v>102</v>
      </c>
      <c r="D4">
        <v>0</v>
      </c>
      <c r="E4">
        <v>1</v>
      </c>
      <c r="F4">
        <v>1</v>
      </c>
      <c r="G4" t="s">
        <v>55</v>
      </c>
      <c r="H4" t="s">
        <v>96</v>
      </c>
    </row>
    <row r="5" spans="1:8" x14ac:dyDescent="0.35">
      <c r="A5" t="s">
        <v>56</v>
      </c>
      <c r="B5" t="s">
        <v>94</v>
      </c>
      <c r="C5" s="16" t="s">
        <v>103</v>
      </c>
      <c r="D5">
        <v>0</v>
      </c>
      <c r="E5">
        <v>1</v>
      </c>
      <c r="F5">
        <v>1</v>
      </c>
      <c r="G5" t="s">
        <v>55</v>
      </c>
      <c r="H5" t="s">
        <v>97</v>
      </c>
    </row>
    <row r="23" spans="5:5" x14ac:dyDescent="0.35">
      <c r="E23" s="1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M3"/>
  <sheetViews>
    <sheetView workbookViewId="0">
      <selection activeCell="F3" sqref="F3"/>
    </sheetView>
  </sheetViews>
  <sheetFormatPr defaultColWidth="10.90625" defaultRowHeight="14.5" x14ac:dyDescent="0.35"/>
  <sheetData>
    <row r="2" spans="2:13" x14ac:dyDescent="0.35">
      <c r="B2" s="2" t="s">
        <v>65</v>
      </c>
      <c r="C2" s="2" t="s">
        <v>66</v>
      </c>
      <c r="D2" s="2" t="s">
        <v>67</v>
      </c>
      <c r="E2" s="2" t="s">
        <v>68</v>
      </c>
      <c r="F2" s="2" t="s">
        <v>69</v>
      </c>
      <c r="G2" s="2" t="s">
        <v>70</v>
      </c>
      <c r="H2" s="2" t="s">
        <v>71</v>
      </c>
      <c r="I2" s="2" t="s">
        <v>72</v>
      </c>
      <c r="J2" s="2" t="s">
        <v>73</v>
      </c>
      <c r="K2" s="2" t="s">
        <v>74</v>
      </c>
      <c r="L2" s="2" t="s">
        <v>75</v>
      </c>
      <c r="M2" s="2" t="s">
        <v>76</v>
      </c>
    </row>
    <row r="3" spans="2:13" x14ac:dyDescent="0.35">
      <c r="B3" s="13"/>
      <c r="D3" s="14" t="s">
        <v>54</v>
      </c>
      <c r="E3" s="15"/>
      <c r="F3" s="12" t="str">
        <f>Cover!B10</f>
        <v>a3e33053-ab7a-4979-be82-d14c6e5eecei</v>
      </c>
      <c r="G3" t="s">
        <v>77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P3"/>
  <sheetViews>
    <sheetView workbookViewId="0">
      <selection activeCell="B3" sqref="B3"/>
    </sheetView>
  </sheetViews>
  <sheetFormatPr defaultColWidth="10.90625" defaultRowHeight="14.5" x14ac:dyDescent="0.35"/>
  <cols>
    <col min="2" max="2" width="34.08984375" bestFit="1" customWidth="1"/>
  </cols>
  <sheetData>
    <row r="2" spans="2:16" x14ac:dyDescent="0.35">
      <c r="B2" s="2" t="s">
        <v>78</v>
      </c>
      <c r="C2" s="2" t="s">
        <v>79</v>
      </c>
      <c r="D2" s="2" t="s">
        <v>80</v>
      </c>
      <c r="E2" s="2" t="s">
        <v>81</v>
      </c>
      <c r="F2" s="2"/>
      <c r="G2" s="2" t="s">
        <v>82</v>
      </c>
      <c r="H2" s="2" t="s">
        <v>83</v>
      </c>
      <c r="I2" s="2" t="s">
        <v>84</v>
      </c>
      <c r="J2" s="2" t="s">
        <v>85</v>
      </c>
      <c r="K2" s="2" t="s">
        <v>86</v>
      </c>
      <c r="L2" s="2" t="s">
        <v>87</v>
      </c>
      <c r="M2" s="2" t="s">
        <v>88</v>
      </c>
      <c r="N2" s="2" t="s">
        <v>89</v>
      </c>
      <c r="O2" s="2" t="s">
        <v>90</v>
      </c>
      <c r="P2" s="2" t="s">
        <v>91</v>
      </c>
    </row>
    <row r="3" spans="2:16" x14ac:dyDescent="0.35">
      <c r="B3" t="str">
        <f>Cover!B9</f>
        <v>ODYM_T6_RecyclingToRecycledMaterialExport</v>
      </c>
      <c r="C3">
        <v>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Values_Master</vt:lpstr>
      <vt:lpstr>log</vt:lpstr>
      <vt:lpstr>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2025-08-28T14:52:02Z</dcterms:modified>
</cp:coreProperties>
</file>