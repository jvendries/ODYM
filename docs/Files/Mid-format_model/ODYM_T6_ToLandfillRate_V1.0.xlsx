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A68D5E-42BC-46EE-A62B-F7CABC591A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<sst xmlns="http://schemas.openxmlformats.org/spreadsheetml/2006/main" count="150" uniqueCount="108">
  <si>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</si>
  <si>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</si>
  <si>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</si>
  <si>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</si>
  <si>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</si>
  <si>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</si>
  <si>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</si>
  <si>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</si>
  <si>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</si>
  <si>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</si>
  <si>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</si>
  <si>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</si>
  <si>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</si>
  <si>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</si>
  <si>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</si>
  <si>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</si>
  <si>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</si>
  <si>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</si>
  <si>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</si>
  <si>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</si>
  <si>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</si>
  <si>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</si>
  <si>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</si>
  <si>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</si>
  <si>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</si>
  <si>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</si>
  <si>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</si>
  <si>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</si>
  <si>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</si>
  <si>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</si>
  <si>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</si>
  <si>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</si>
  <si>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</si>
  <si>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</si>
  <si>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</si>
  <si>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</si>
  <si>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</si>
  <si>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</si>
  <si>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</si>
  <si>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</si>
  <si>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</si>
  <si>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</si>
  <si>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</si>
  <si>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</si>
  <si>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</si>
  <si>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</si>
  <si>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</si>
  <si>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</si>
  <si>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</si>
  <si>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</si>
  <si>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</si>
  <si>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</si>
  <si>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</si>
  <si>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</si>
  <si>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</si>
  <si>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</si>
  <si>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</si>
  <si>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</si>
  <si>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</si>
  <si>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</si>
  <si>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</si>
  <si>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</si>
  <si>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</si>
  <si>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</si>
  <si>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</si>
  <si>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</si>
  <si>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</si>
  <si>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</si>
  <si>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</si>
  <si>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</si>
  <si>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</si>
  <si>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</si>
  <si>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</si>
  <si>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</si>
  <si>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</si>
  <si>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</si>
  <si>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</si>
  <si>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</si>
  <si>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</si>
  <si>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</si>
  <si>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</si>
  <si>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</si>
  <si>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</si>
  <si>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</si>
  <si>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</si>
  <si>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</si>
  <si>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</si>
  <si>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</si>
  <si>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</si>
  <si>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</si>
  <si>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</si>
  <si>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</si>
  <si>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</si>
  <si>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</si>
  <si>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</si>
  <si>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6213e899-8367-483a-8d09-a0c0831c22e6</t>
  </si>
  <si>
    <t>V.02</t>
  </si>
  <si>
    <t>Waste mgt. Industries</t>
  </si>
  <si>
    <t>ODYM_T6_ToLandfillRate</t>
  </si>
  <si>
    <t>LIB</t>
  </si>
  <si>
    <t>LIB scrap</t>
  </si>
  <si>
    <t>LIB materials</t>
  </si>
  <si>
    <t>Other scrap</t>
  </si>
  <si>
    <t>Share of after use flow going to landfill</t>
  </si>
  <si>
    <t>Temporary; Landfill is .1; to used export is 0.05; refurbishment  is 0; to recycling is .85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</si>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</sst>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10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96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98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105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4" sqref="E4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106</v>
      </c>
      <c r="C2" t="s">
        <v>99</v>
      </c>
      <c r="D2" s="1" t="s">
        <v>100</v>
      </c>
      <c r="E2">
        <v>0.5</v>
      </c>
      <c r="F2">
        <v>1</v>
      </c>
      <c r="G2">
        <v>1</v>
      </c>
      <c r="H2" t="s">
        <v>54</v>
      </c>
      <c r="I2" t="s">
        <v>104</v>
      </c>
    </row>
    <row r="3" spans="1:9" x14ac:dyDescent="0.35">
      <c r="A3" t="s">
        <v>55</v>
      </c>
      <c r="B3" s="17" t="s">
        <v>107</v>
      </c>
      <c r="C3" t="s">
        <v>101</v>
      </c>
      <c r="D3" s="1" t="s">
        <v>102</v>
      </c>
      <c r="E3">
        <v>0.5</v>
      </c>
      <c r="F3">
        <v>1</v>
      </c>
      <c r="G3">
        <v>1</v>
      </c>
      <c r="H3" t="s">
        <v>54</v>
      </c>
      <c r="I3" t="s">
        <v>104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tr">
        <f>Cover!B3</f>
        <v>ODYM_T6_ToLandfillRate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2025-08-28T17:04:38Z</dcterms:modified>
</cp:coreProperties>
</file>