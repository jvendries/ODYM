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D7110B8-15EB-4963-B0E6-2545AD66D51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<sst xmlns="http://schemas.openxmlformats.org/spreadsheetml/2006/main" count="144" uniqueCount="103">
  <si>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</si>
  <si>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</si>
  <si>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</si>
  <si>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</si>
  <si>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</si>
  <si>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</si>
  <si>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</si>
  <si>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</si>
  <si>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</si>
  <si>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</si>
  <si>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</si>
  <si>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</si>
  <si>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</si>
  <si>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</si>
  <si>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</si>
  <si>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</si>
  <si>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</si>
  <si>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</si>
  <si>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</si>
  <si>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</si>
  <si>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</si>
  <si>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</si>
  <si>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</si>
  <si>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</si>
  <si>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</si>
  <si>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</si>
  <si>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</si>
  <si>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</si>
  <si>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</si>
  <si>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</si>
  <si>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</si>
  <si>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</si>
  <si>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</si>
  <si>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</si>
  <si>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</si>
  <si>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</si>
  <si>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</si>
  <si>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</si>
  <si>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</si>
  <si>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</si>
  <si>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</si>
  <si>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</si>
  <si>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</si>
  <si>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</si>
  <si>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</si>
  <si>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</si>
  <si>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</si>
  <si>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</si>
  <si>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</si>
  <si>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</si>
  <si>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</si>
  <si>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</si>
  <si>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</si>
  <si>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</si>
  <si>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</si>
  <si>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</si>
  <si>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</si>
  <si>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</si>
  <si>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</si>
  <si>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</si>
  <si>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</si>
  <si>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</si>
  <si>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</si>
  <si>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</si>
  <si>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</si>
  <si>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</si>
  <si>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</si>
  <si>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</si>
  <si>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</si>
  <si>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</si>
  <si>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</si>
  <si>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</si>
  <si>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</si>
  <si>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</si>
  <si>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</si>
  <si>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</si>
  <si>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</si>
  <si>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</si>
  <si>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</si>
  <si>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</si>
  <si>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</si>
  <si>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</si>
  <si>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</si>
  <si>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</si>
  <si>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</si>
  <si>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</si>
  <si>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</si>
  <si>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</si>
  <si>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</si>
  <si>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</si>
  <si>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</si>
  <si>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</si>
  <si>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Remelting yield</t>
  </si>
  <si>
    <t>LIB</t>
  </si>
  <si>
    <t>LIB scrap</t>
  </si>
  <si>
    <t>Other scrap</t>
  </si>
  <si>
    <t>LIB materials</t>
  </si>
  <si>
    <t>38ed7154-01c2-4d21-8128-df10bbd150a6</t>
  </si>
  <si>
    <t>ODYM_T6_SortingToRefurbishmentRate</t>
  </si>
  <si>
    <t>Share of sorting output that is recovered as secondary material</t>
  </si>
  <si>
    <t>Sorting to refurbishment + Remelting yield = .66+.34</t>
  </si>
  <si>
    <t>Used batteries sorting</t>
  </si>
  <si>
    <t>ODYM_Classifications_MF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</si>
</sst>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6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98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99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101</v>
      </c>
      <c r="E8" s="1" t="s">
        <v>16</v>
      </c>
      <c r="H8" t="s">
        <v>23</v>
      </c>
    </row>
    <row r="9" spans="1:8" x14ac:dyDescent="0.35">
      <c r="A9" s="2" t="s">
        <v>24</v>
      </c>
      <c r="B9" s="8" t="s">
        <v>98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97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102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4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tabSelected="1" zoomScale="70" zoomScaleNormal="70" workbookViewId="0">
      <selection activeCell="D4" sqref="D4"/>
    </sheetView>
  </sheetViews>
  <sheetFormatPr defaultColWidth="10.90625" defaultRowHeight="14.5" x14ac:dyDescent="0.35"/>
  <cols>
    <col min="2" max="2" width="36.81640625" bestFit="1" customWidth="1"/>
    <col min="3" max="3" width="20.6328125" bestFit="1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s="1" t="s">
        <v>94</v>
      </c>
      <c r="C2" t="s">
        <v>93</v>
      </c>
      <c r="D2">
        <v>0.45</v>
      </c>
      <c r="E2">
        <v>1</v>
      </c>
      <c r="F2">
        <v>1</v>
      </c>
      <c r="G2" t="s">
        <v>55</v>
      </c>
      <c r="H2" t="s">
        <v>100</v>
      </c>
    </row>
    <row r="3" spans="1:8" x14ac:dyDescent="0.35">
      <c r="A3" t="s">
        <v>56</v>
      </c>
      <c r="B3" t="s">
        <v>95</v>
      </c>
      <c r="C3" t="s">
        <v>96</v>
      </c>
      <c r="D3">
        <v>0.45</v>
      </c>
      <c r="E3">
        <v>1</v>
      </c>
      <c r="F3">
        <v>1</v>
      </c>
      <c r="G3" t="s">
        <v>55</v>
      </c>
      <c r="H3" t="s">
        <v>100</v>
      </c>
    </row>
    <row r="4" spans="1:8" x14ac:dyDescent="0.35">
      <c r="B4" s="1"/>
    </row>
    <row r="5" spans="1:8" x14ac:dyDescent="0.35">
      <c r="B5" s="1"/>
    </row>
    <row r="6" spans="1:8" x14ac:dyDescent="0.35">
      <c r="B6" s="1"/>
    </row>
    <row r="7" spans="1:8" x14ac:dyDescent="0.35">
      <c r="B7" s="1"/>
    </row>
    <row r="8" spans="1:8" x14ac:dyDescent="0.35">
      <c r="B8" s="1"/>
    </row>
    <row r="33" spans="5:5" x14ac:dyDescent="0.35">
      <c r="E3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>
        <v>43344</v>
      </c>
      <c r="D3" s="14" t="s">
        <v>54</v>
      </c>
      <c r="E3" s="15"/>
      <c r="F3" s="12" t="str">
        <f>Cover!B10</f>
        <v>38ed7154-01c2-4d21-8128-df10bbd150a6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0.90625" defaultRowHeight="14.5" x14ac:dyDescent="0.35"/>
  <cols>
    <col min="2" max="2" width="15.36328125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Cover!B3</f>
        <v>ODYM_T6_SortingToRefurbishmentRate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2025-08-28T16:12:56Z</dcterms:modified>
</cp:coreProperties>
</file>