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B8129F0-FC2D-433C-B40B-314F8754C8E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<sst xmlns="http://schemas.openxmlformats.org/spreadsheetml/2006/main" count="150" uniqueCount="102">
  <si>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</si>
  <si>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</si>
  <si>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</si>
  <si>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</si>
  <si>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</si>
  <si>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</si>
  <si>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</si>
  <si>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</si>
  <si>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</si>
  <si>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</si>
  <si>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</si>
  <si>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</si>
  <si>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</si>
  <si>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</si>
  <si>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</si>
  <si>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</si>
  <si>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</si>
  <si>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</si>
  <si>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</si>
  <si>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</si>
  <si>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</si>
  <si>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</si>
  <si>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</si>
  <si>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</si>
  <si>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</si>
  <si>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</si>
  <si>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</si>
  <si>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</si>
  <si>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</si>
  <si>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</si>
  <si>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</si>
  <si>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</si>
  <si>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</si>
  <si>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</si>
  <si>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</si>
  <si>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</si>
  <si>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</si>
  <si>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</si>
  <si>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</si>
  <si>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</si>
  <si>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</si>
  <si>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</si>
  <si>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</si>
  <si>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</si>
  <si>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</si>
  <si>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</si>
  <si>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</si>
  <si>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</si>
  <si>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</si>
  <si>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</si>
  <si>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</si>
  <si>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</si>
  <si>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</si>
  <si>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</si>
  <si>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</si>
  <si>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</si>
  <si>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</si>
  <si>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</si>
  <si>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</si>
  <si>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</si>
  <si>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</si>
  <si>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</si>
  <si>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</si>
  <si>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</si>
  <si>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</si>
  <si>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</si>
  <si>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</si>
  <si>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</si>
  <si>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</si>
  <si>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</si>
  <si>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</si>
  <si>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</si>
  <si>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</si>
  <si>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</si>
  <si>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</si>
  <si>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</si>
  <si>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</si>
  <si>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</si>
  <si>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</si>
  <si>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</si>
  <si>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</si>
  <si>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</si>
  <si>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</si>
  <si>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</si>
  <si>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</si>
  <si>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</si>
  <si>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</si>
  <si>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</si>
  <si>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</si>
  <si>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</si>
  <si>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</si>
  <si>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</si>
  <si>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Share of material going to different end-use sectors</t>
  </si>
  <si>
    <t>LIB</t>
  </si>
  <si>
    <t>LIB materials</t>
  </si>
  <si>
    <t>ODYM_T6_RefurbishmentSectorSplit</t>
  </si>
  <si>
    <t>a3e33053-ab7a-4979-be82-d14c6e5eece1</t>
  </si>
  <si>
    <t>Refurbishment</t>
  </si>
  <si>
    <t>Share of material going to different end-use sectors in refurbishment</t>
  </si>
  <si>
    <t>ODYM_Classifications_MF</t>
  </si>
  <si>
    <t>MF LIB</t>
  </si>
  <si>
    <t>other MF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</si>
</sst>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95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98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97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95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96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99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16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92</v>
      </c>
      <c r="E23" s="1" t="s">
        <v>16</v>
      </c>
      <c r="H23" t="s">
        <v>48</v>
      </c>
    </row>
    <row r="24" spans="1:8" x14ac:dyDescent="0.35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abSelected="1" zoomScale="69" zoomScaleNormal="100" workbookViewId="0">
      <selection activeCell="C6" sqref="C6"/>
    </sheetView>
  </sheetViews>
  <sheetFormatPr defaultColWidth="10.90625" defaultRowHeight="14.5" x14ac:dyDescent="0.35"/>
  <cols>
    <col min="1" max="1" width="7.81640625" bestFit="1" customWidth="1"/>
    <col min="2" max="2" width="20.6328125" bestFit="1" customWidth="1"/>
    <col min="3" max="3" width="23.36328125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t="s">
        <v>93</v>
      </c>
      <c r="C2" s="16" t="s">
        <v>100</v>
      </c>
      <c r="D2">
        <v>1</v>
      </c>
      <c r="E2">
        <v>1</v>
      </c>
      <c r="F2">
        <v>1</v>
      </c>
      <c r="G2" t="s">
        <v>55</v>
      </c>
    </row>
    <row r="3" spans="1:8" x14ac:dyDescent="0.35">
      <c r="A3" t="s">
        <v>56</v>
      </c>
      <c r="B3" t="s">
        <v>93</v>
      </c>
      <c r="C3" s="16" t="s">
        <v>101</v>
      </c>
      <c r="D3">
        <v>0</v>
      </c>
      <c r="E3">
        <v>1</v>
      </c>
      <c r="F3">
        <v>1</v>
      </c>
      <c r="G3" t="s">
        <v>55</v>
      </c>
    </row>
    <row r="4" spans="1:8" x14ac:dyDescent="0.35">
      <c r="A4" t="s">
        <v>56</v>
      </c>
      <c r="B4" t="s">
        <v>94</v>
      </c>
      <c r="C4" s="16" t="s">
        <v>100</v>
      </c>
      <c r="D4">
        <v>1</v>
      </c>
      <c r="E4">
        <v>1</v>
      </c>
      <c r="F4">
        <v>1</v>
      </c>
      <c r="G4" t="s">
        <v>55</v>
      </c>
    </row>
    <row r="5" spans="1:8" x14ac:dyDescent="0.35">
      <c r="A5" t="s">
        <v>56</v>
      </c>
      <c r="B5" t="s">
        <v>94</v>
      </c>
      <c r="C5" s="16" t="s">
        <v>101</v>
      </c>
      <c r="D5">
        <v>0</v>
      </c>
      <c r="E5">
        <v>1</v>
      </c>
      <c r="F5">
        <v>1</v>
      </c>
      <c r="G5" t="s">
        <v>55</v>
      </c>
    </row>
    <row r="23" spans="5:5" x14ac:dyDescent="0.35">
      <c r="E2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0.90625" defaultRowHeight="14.5" x14ac:dyDescent="0.35"/>
  <sheetData>
    <row r="2" spans="2:13" x14ac:dyDescent="0.35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5">
      <c r="B3" s="13">
        <v>43344</v>
      </c>
      <c r="D3" s="14" t="s">
        <v>54</v>
      </c>
      <c r="E3" s="15"/>
      <c r="F3" s="12" t="str">
        <f>Cover!B10</f>
        <v>a3e33053-ab7a-4979-be82-d14c6e5eece1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H10" sqref="H10"/>
    </sheetView>
  </sheetViews>
  <sheetFormatPr defaultColWidth="10.90625" defaultRowHeight="14.5" x14ac:dyDescent="0.35"/>
  <sheetData>
    <row r="2" spans="2:16" x14ac:dyDescent="0.35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5">
      <c r="B3" t="str">
        <f>Cover!B3</f>
        <v>ODYM_T6_RefurbishmentSectorSplit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2025-08-28T14:52:21Z</dcterms:modified>
</cp:coreProperties>
</file>