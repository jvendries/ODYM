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lanphear\Code\ODYM\docs\"/>
    </mc:Choice>
  </mc:AlternateContent>
  <xr:revisionPtr revIDLastSave="0" documentId="13_ncr:1_{6348540A-5A3B-49E6-8E9F-5180779F517C}" xr6:coauthVersionLast="47" xr6:coauthVersionMax="47" xr10:uidLastSave="{00000000-0000-0000-0000-000000000000}"/>
  <bookViews>
    <workbookView xWindow="9510" yWindow="0" windowWidth="9780" windowHeight="10170" firstSheet="3" activeTab="3" xr2:uid="{00000000-000D-0000-FFFF-FFFF00000000}"/>
  </bookViews>
  <sheets>
    <sheet name="Cover" sheetId="1" r:id="rId1"/>
    <sheet name="Data_Batteries_US" sheetId="2" r:id="rId2"/>
    <sheet name="Data_Batteries_US (2)" sheetId="3" r:id="rId3"/>
    <sheet name="Data_Batteries_US (3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D138" i="3"/>
  <c r="D126" i="3"/>
  <c r="D128" i="3"/>
  <c r="D129" i="3"/>
  <c r="D130" i="3"/>
  <c r="D131" i="3"/>
  <c r="D132" i="3"/>
  <c r="D133" i="3"/>
  <c r="D134" i="3"/>
  <c r="D135" i="3"/>
  <c r="D136" i="3"/>
  <c r="D137" i="3"/>
  <c r="D127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26" i="3"/>
  <c r="H122" i="3"/>
  <c r="D119" i="3"/>
  <c r="D117" i="3"/>
</calcChain>
</file>

<file path=xl/sharedStrings.xml><?xml version="1.0" encoding="utf-8"?>
<sst xmlns="http://schemas.openxmlformats.org/spreadsheetml/2006/main" count="18" uniqueCount="10">
  <si>
    <t>Country:</t>
  </si>
  <si>
    <t>Industrial Ecology Open Online Course (IEooc)</t>
  </si>
  <si>
    <t>http://www.teaching.industrialecology.uni-freiburg.de/</t>
  </si>
  <si>
    <t>IEooc_Methods3_Software1: Jupyter notebook for dynamic stock modelling</t>
  </si>
  <si>
    <t>Methods part 3 (Dynamic MFA models, Stock-driven models)</t>
  </si>
  <si>
    <t>United States</t>
  </si>
  <si>
    <t>Inflow to use phase (final battery consumption), kt/yr</t>
  </si>
  <si>
    <t>Scenario for future battery stock, basic, kt</t>
  </si>
  <si>
    <t>Stock diff year over year</t>
  </si>
  <si>
    <t>J2 taken from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</si>
</sst>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/>
    <xf numFmtId="3" fontId="5" fillId="0" borderId="0" xfId="0" applyNumberFormat="1" applyFont="1"/>
    <xf numFmtId="3" fontId="5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'Data_Batteries_US (2)'!$D$1:$D$2</c:f>
              <c:strCache>
                <c:ptCount val="2"/>
                <c:pt idx="0">
                  <c:v>Inflow to use phase (final battery consumption), kt/yr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'Data_Batteries_US (2)'!$C$3:$C$203</c:f>
              <c:numCache>
                <c:formatCode>General</c:formatCode>
                <c:ptCount val="201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  <c:pt idx="127">
                  <c:v>2027</c:v>
                </c:pt>
                <c:pt idx="128">
                  <c:v>2028</c:v>
                </c:pt>
                <c:pt idx="129">
                  <c:v>2029</c:v>
                </c:pt>
                <c:pt idx="130">
                  <c:v>2030</c:v>
                </c:pt>
                <c:pt idx="131">
                  <c:v>2031</c:v>
                </c:pt>
                <c:pt idx="132">
                  <c:v>2032</c:v>
                </c:pt>
                <c:pt idx="133">
                  <c:v>2033</c:v>
                </c:pt>
                <c:pt idx="134">
                  <c:v>2034</c:v>
                </c:pt>
                <c:pt idx="135">
                  <c:v>2035</c:v>
                </c:pt>
                <c:pt idx="136">
                  <c:v>2036</c:v>
                </c:pt>
                <c:pt idx="137">
                  <c:v>2037</c:v>
                </c:pt>
                <c:pt idx="138">
                  <c:v>2038</c:v>
                </c:pt>
                <c:pt idx="139">
                  <c:v>2039</c:v>
                </c:pt>
                <c:pt idx="140">
                  <c:v>2040</c:v>
                </c:pt>
                <c:pt idx="141">
                  <c:v>2041</c:v>
                </c:pt>
                <c:pt idx="142">
                  <c:v>2042</c:v>
                </c:pt>
                <c:pt idx="143">
                  <c:v>2043</c:v>
                </c:pt>
                <c:pt idx="144">
                  <c:v>2044</c:v>
                </c:pt>
                <c:pt idx="145">
                  <c:v>2045</c:v>
                </c:pt>
                <c:pt idx="146">
                  <c:v>2046</c:v>
                </c:pt>
                <c:pt idx="147">
                  <c:v>2047</c:v>
                </c:pt>
                <c:pt idx="148">
                  <c:v>2048</c:v>
                </c:pt>
                <c:pt idx="149">
                  <c:v>2049</c:v>
                </c:pt>
                <c:pt idx="150">
                  <c:v>2050</c:v>
                </c:pt>
                <c:pt idx="151">
                  <c:v>2051</c:v>
                </c:pt>
                <c:pt idx="152">
                  <c:v>2052</c:v>
                </c:pt>
                <c:pt idx="153">
                  <c:v>2053</c:v>
                </c:pt>
                <c:pt idx="154">
                  <c:v>2054</c:v>
                </c:pt>
                <c:pt idx="155">
                  <c:v>2055</c:v>
                </c:pt>
                <c:pt idx="156">
                  <c:v>2056</c:v>
                </c:pt>
                <c:pt idx="157">
                  <c:v>2057</c:v>
                </c:pt>
                <c:pt idx="158">
                  <c:v>2058</c:v>
                </c:pt>
                <c:pt idx="159">
                  <c:v>2059</c:v>
                </c:pt>
                <c:pt idx="160">
                  <c:v>2060</c:v>
                </c:pt>
                <c:pt idx="161">
                  <c:v>2061</c:v>
                </c:pt>
                <c:pt idx="162">
                  <c:v>2062</c:v>
                </c:pt>
                <c:pt idx="163">
                  <c:v>2063</c:v>
                </c:pt>
                <c:pt idx="164">
                  <c:v>2064</c:v>
                </c:pt>
                <c:pt idx="165">
                  <c:v>2065</c:v>
                </c:pt>
                <c:pt idx="166">
                  <c:v>2066</c:v>
                </c:pt>
                <c:pt idx="167">
                  <c:v>2067</c:v>
                </c:pt>
                <c:pt idx="168">
                  <c:v>2068</c:v>
                </c:pt>
                <c:pt idx="169">
                  <c:v>2069</c:v>
                </c:pt>
                <c:pt idx="170">
                  <c:v>2070</c:v>
                </c:pt>
                <c:pt idx="171">
                  <c:v>2071</c:v>
                </c:pt>
                <c:pt idx="172">
                  <c:v>2072</c:v>
                </c:pt>
                <c:pt idx="173">
                  <c:v>2073</c:v>
                </c:pt>
                <c:pt idx="174">
                  <c:v>2074</c:v>
                </c:pt>
                <c:pt idx="175">
                  <c:v>2075</c:v>
                </c:pt>
                <c:pt idx="176">
                  <c:v>2076</c:v>
                </c:pt>
                <c:pt idx="177">
                  <c:v>2077</c:v>
                </c:pt>
                <c:pt idx="178">
                  <c:v>2078</c:v>
                </c:pt>
                <c:pt idx="179">
                  <c:v>2079</c:v>
                </c:pt>
                <c:pt idx="180">
                  <c:v>2080</c:v>
                </c:pt>
                <c:pt idx="181">
                  <c:v>2081</c:v>
                </c:pt>
                <c:pt idx="182">
                  <c:v>2082</c:v>
                </c:pt>
                <c:pt idx="183">
                  <c:v>2083</c:v>
                </c:pt>
                <c:pt idx="184">
                  <c:v>2084</c:v>
                </c:pt>
                <c:pt idx="185">
                  <c:v>2085</c:v>
                </c:pt>
                <c:pt idx="186">
                  <c:v>2086</c:v>
                </c:pt>
                <c:pt idx="187">
                  <c:v>2087</c:v>
                </c:pt>
                <c:pt idx="188">
                  <c:v>2088</c:v>
                </c:pt>
                <c:pt idx="189">
                  <c:v>2089</c:v>
                </c:pt>
                <c:pt idx="190">
                  <c:v>2090</c:v>
                </c:pt>
                <c:pt idx="191">
                  <c:v>2091</c:v>
                </c:pt>
                <c:pt idx="192">
                  <c:v>2092</c:v>
                </c:pt>
                <c:pt idx="193">
                  <c:v>2093</c:v>
                </c:pt>
                <c:pt idx="194">
                  <c:v>2094</c:v>
                </c:pt>
                <c:pt idx="195">
                  <c:v>2095</c:v>
                </c:pt>
                <c:pt idx="196">
                  <c:v>2096</c:v>
                </c:pt>
                <c:pt idx="197">
                  <c:v>2097</c:v>
                </c:pt>
                <c:pt idx="198">
                  <c:v>2098</c:v>
                </c:pt>
                <c:pt idx="199">
                  <c:v>2099</c:v>
                </c:pt>
                <c:pt idx="200">
                  <c:v>2100</c:v>
                </c:pt>
              </c:numCache>
            </c:numRef>
          </c:cat>
          <c:val>
            <c:numRef>
              <c:f>'Data_Batteries_US (2)'!$D$3:$D$203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20</c:v>
                </c:pt>
                <c:pt idx="111">
                  <c:v>35</c:v>
                </c:pt>
                <c:pt idx="112">
                  <c:v>80</c:v>
                </c:pt>
                <c:pt idx="113">
                  <c:v>150</c:v>
                </c:pt>
                <c:pt idx="114">
                  <c:v>257.01736999999997</c:v>
                </c:pt>
                <c:pt idx="115">
                  <c:v>280</c:v>
                </c:pt>
                <c:pt idx="116">
                  <c:v>309.16799999999995</c:v>
                </c:pt>
                <c:pt idx="117">
                  <c:v>350</c:v>
                </c:pt>
                <c:pt idx="118">
                  <c:v>400</c:v>
                </c:pt>
                <c:pt idx="119">
                  <c:v>490</c:v>
                </c:pt>
                <c:pt idx="120">
                  <c:v>530</c:v>
                </c:pt>
                <c:pt idx="121">
                  <c:v>720</c:v>
                </c:pt>
                <c:pt idx="122">
                  <c:v>800</c:v>
                </c:pt>
                <c:pt idx="123">
                  <c:v>928.57749999999987</c:v>
                </c:pt>
                <c:pt idx="124">
                  <c:v>1136.1279899999997</c:v>
                </c:pt>
                <c:pt idx="125">
                  <c:v>1519.4404879999997</c:v>
                </c:pt>
                <c:pt idx="126">
                  <c:v>1962.2205919999997</c:v>
                </c:pt>
                <c:pt idx="127">
                  <c:v>2475.3879439999996</c:v>
                </c:pt>
                <c:pt idx="128">
                  <c:v>3148.5304129999995</c:v>
                </c:pt>
                <c:pt idx="129">
                  <c:v>4025.6357349999994</c:v>
                </c:pt>
                <c:pt idx="130">
                  <c:v>5116.2194139999992</c:v>
                </c:pt>
                <c:pt idx="131">
                  <c:v>5719.8720809999986</c:v>
                </c:pt>
                <c:pt idx="132">
                  <c:v>6409.7031809999989</c:v>
                </c:pt>
                <c:pt idx="133">
                  <c:v>7140.9778219999989</c:v>
                </c:pt>
                <c:pt idx="134">
                  <c:v>7948.4108469999983</c:v>
                </c:pt>
                <c:pt idx="135">
                  <c:v>8845.9663439999986</c:v>
                </c:pt>
                <c:pt idx="136">
                  <c:v>9200</c:v>
                </c:pt>
                <c:pt idx="137">
                  <c:v>9500</c:v>
                </c:pt>
                <c:pt idx="138">
                  <c:v>9700</c:v>
                </c:pt>
                <c:pt idx="139">
                  <c:v>10000</c:v>
                </c:pt>
                <c:pt idx="140">
                  <c:v>12000</c:v>
                </c:pt>
                <c:pt idx="141">
                  <c:v>13000</c:v>
                </c:pt>
                <c:pt idx="142">
                  <c:v>13000</c:v>
                </c:pt>
                <c:pt idx="143">
                  <c:v>13000</c:v>
                </c:pt>
                <c:pt idx="144">
                  <c:v>13000</c:v>
                </c:pt>
                <c:pt idx="145">
                  <c:v>13000</c:v>
                </c:pt>
                <c:pt idx="146">
                  <c:v>13000</c:v>
                </c:pt>
                <c:pt idx="147">
                  <c:v>13000</c:v>
                </c:pt>
                <c:pt idx="148">
                  <c:v>13000</c:v>
                </c:pt>
                <c:pt idx="149">
                  <c:v>13000</c:v>
                </c:pt>
                <c:pt idx="150">
                  <c:v>13000</c:v>
                </c:pt>
                <c:pt idx="151">
                  <c:v>13000</c:v>
                </c:pt>
                <c:pt idx="152">
                  <c:v>13000</c:v>
                </c:pt>
                <c:pt idx="153">
                  <c:v>13000</c:v>
                </c:pt>
                <c:pt idx="154">
                  <c:v>13000</c:v>
                </c:pt>
                <c:pt idx="155">
                  <c:v>13000</c:v>
                </c:pt>
                <c:pt idx="156">
                  <c:v>13000</c:v>
                </c:pt>
                <c:pt idx="157">
                  <c:v>13000</c:v>
                </c:pt>
                <c:pt idx="158">
                  <c:v>13000</c:v>
                </c:pt>
                <c:pt idx="159">
                  <c:v>13000</c:v>
                </c:pt>
                <c:pt idx="160">
                  <c:v>13000</c:v>
                </c:pt>
                <c:pt idx="161">
                  <c:v>13000</c:v>
                </c:pt>
                <c:pt idx="162">
                  <c:v>13000</c:v>
                </c:pt>
                <c:pt idx="163">
                  <c:v>13000</c:v>
                </c:pt>
                <c:pt idx="164">
                  <c:v>13000</c:v>
                </c:pt>
                <c:pt idx="165">
                  <c:v>13000</c:v>
                </c:pt>
                <c:pt idx="166">
                  <c:v>13000</c:v>
                </c:pt>
                <c:pt idx="167">
                  <c:v>13000</c:v>
                </c:pt>
                <c:pt idx="168">
                  <c:v>13000</c:v>
                </c:pt>
                <c:pt idx="169">
                  <c:v>13000</c:v>
                </c:pt>
                <c:pt idx="170">
                  <c:v>13000</c:v>
                </c:pt>
                <c:pt idx="171">
                  <c:v>13000</c:v>
                </c:pt>
                <c:pt idx="172">
                  <c:v>13000</c:v>
                </c:pt>
                <c:pt idx="173">
                  <c:v>13000</c:v>
                </c:pt>
                <c:pt idx="174">
                  <c:v>13000</c:v>
                </c:pt>
                <c:pt idx="175">
                  <c:v>13000</c:v>
                </c:pt>
                <c:pt idx="176">
                  <c:v>13000</c:v>
                </c:pt>
                <c:pt idx="177">
                  <c:v>13000</c:v>
                </c:pt>
                <c:pt idx="178">
                  <c:v>13000</c:v>
                </c:pt>
                <c:pt idx="179">
                  <c:v>13000</c:v>
                </c:pt>
                <c:pt idx="180">
                  <c:v>13000</c:v>
                </c:pt>
                <c:pt idx="181">
                  <c:v>13000</c:v>
                </c:pt>
                <c:pt idx="182">
                  <c:v>13000</c:v>
                </c:pt>
                <c:pt idx="183">
                  <c:v>13000</c:v>
                </c:pt>
                <c:pt idx="184">
                  <c:v>13000</c:v>
                </c:pt>
                <c:pt idx="185">
                  <c:v>13000</c:v>
                </c:pt>
                <c:pt idx="186">
                  <c:v>13000</c:v>
                </c:pt>
                <c:pt idx="187">
                  <c:v>13000</c:v>
                </c:pt>
                <c:pt idx="188">
                  <c:v>13000</c:v>
                </c:pt>
                <c:pt idx="189">
                  <c:v>13000</c:v>
                </c:pt>
                <c:pt idx="190">
                  <c:v>13000</c:v>
                </c:pt>
                <c:pt idx="191">
                  <c:v>13000</c:v>
                </c:pt>
                <c:pt idx="192">
                  <c:v>13000</c:v>
                </c:pt>
                <c:pt idx="193">
                  <c:v>13000</c:v>
                </c:pt>
                <c:pt idx="194">
                  <c:v>13000</c:v>
                </c:pt>
                <c:pt idx="195">
                  <c:v>13000</c:v>
                </c:pt>
                <c:pt idx="196">
                  <c:v>13000</c:v>
                </c:pt>
                <c:pt idx="197">
                  <c:v>13000</c:v>
                </c:pt>
                <c:pt idx="198">
                  <c:v>13000</c:v>
                </c:pt>
                <c:pt idx="199">
                  <c:v>13000</c:v>
                </c:pt>
                <c:pt idx="200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5-4478-9603-72EB1F03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525151"/>
        <c:axId val="568398447"/>
      </c:lineChart>
      <c:catAx>
        <c:axId val="5735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98447"/>
        <c:crosses val="autoZero"/>
        <c:auto val="1"/>
        <c:lblAlgn val="ctr"/>
        <c:lblOffset val="100"/>
        <c:noMultiLvlLbl val="0"/>
      </c:catAx>
      <c:valAx>
        <c:axId val="5683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251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17</xdr:row>
      <xdr:rowOff>47625</xdr:rowOff>
    </xdr:from>
    <xdr:to>
      <xdr:col>4</xdr:col>
      <xdr:colOff>675005</xdr:colOff>
      <xdr:row>18</xdr:row>
      <xdr:rowOff>150495</xdr:rowOff>
    </xdr:to>
    <xdr:pic>
      <xdr:nvPicPr>
        <xdr:cNvPr id="2" name="Grafik 1" descr="C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3333750"/>
          <a:ext cx="83693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142875</xdr:colOff>
      <xdr:row>9</xdr:row>
      <xdr:rowOff>104776</xdr:rowOff>
    </xdr:from>
    <xdr:to>
      <xdr:col>5</xdr:col>
      <xdr:colOff>542925</xdr:colOff>
      <xdr:row>13</xdr:row>
      <xdr:rowOff>128816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866901"/>
          <a:ext cx="1924050" cy="786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741973</xdr:colOff>
      <xdr:row>111</xdr:row>
      <xdr:rowOff>72781</xdr:rowOff>
    </xdr:from>
    <xdr:to>
      <xdr:col>16</xdr:col>
      <xdr:colOff>662599</xdr:colOff>
      <xdr:row>128</xdr:row>
      <xdr:rowOff>145724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C451C-5264-9BD7-CD59-9ECD1FCCB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teaching.industrialecology.uni-freiburg.d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E6"/>
  <sheetViews>
    <sheetView showGridLines="0" workbookViewId="0">
      <selection activeCell="G18" sqref="G18"/>
    </sheetView>
  </sheetViews>
  <sheetFormatPr defaultColWidth="10.90625" defaultRowHeight="14.5" x14ac:dyDescent="0.35"/>
  <cols>
    <col min="1" max="1" width="22.1796875" customWidth="1"/>
  </cols>
  <sheetData>
    <row r="2" spans="5:5" x14ac:dyDescent="0.35">
      <c r="E2" s="4" t="s">
        <v>1</v>
      </c>
    </row>
    <row r="3" spans="5:5" x14ac:dyDescent="0.35">
      <c r="E3" s="6" t="s">
        <v>4</v>
      </c>
    </row>
    <row r="4" spans="5:5" x14ac:dyDescent="0.35">
      <c r="E4" s="3" t="s">
        <v>2</v>
      </c>
    </row>
    <row r="6" spans="5:5" ht="18.5" x14ac:dyDescent="0.35">
      <c r="E6" s="5" t="s">
        <v>3</v>
      </c>
    </row>
  </sheetData>
  <hyperlinks>
    <hyperlink ref="E4" r:id="rId1" xr:uid="{00000000-0004-0000-0000-000000000000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3"/>
  <sheetViews>
    <sheetView topLeftCell="H1" workbookViewId="0">
      <selection activeCell="J3" sqref="J3:J78"/>
    </sheetView>
  </sheetViews>
  <sheetFormatPr defaultColWidth="10.90625" defaultRowHeight="14.5" x14ac:dyDescent="0.35"/>
  <cols>
    <col min="3" max="3" width="21.81640625" customWidth="1"/>
    <col min="4" max="4" width="17.1796875" customWidth="1"/>
  </cols>
  <sheetData>
    <row r="1" spans="2:10" x14ac:dyDescent="0.35">
      <c r="B1" s="1" t="s">
        <v>0</v>
      </c>
      <c r="D1" s="2" t="s">
        <v>6</v>
      </c>
      <c r="J1" s="2" t="s">
        <v>7</v>
      </c>
    </row>
    <row r="2" spans="2:10" x14ac:dyDescent="0.35">
      <c r="B2" s="1"/>
      <c r="D2" s="3"/>
      <c r="J2" s="3"/>
    </row>
    <row r="3" spans="2:10" x14ac:dyDescent="0.35">
      <c r="B3" s="1" t="s">
        <v>5</v>
      </c>
      <c r="C3" s="1">
        <v>2000</v>
      </c>
      <c r="D3">
        <v>0</v>
      </c>
      <c r="I3" s="1">
        <v>2025</v>
      </c>
      <c r="J3">
        <v>5609.5043013300001</v>
      </c>
    </row>
    <row r="4" spans="2:10" x14ac:dyDescent="0.35">
      <c r="C4" s="1">
        <v>2001</v>
      </c>
      <c r="D4">
        <v>0</v>
      </c>
      <c r="I4" s="1">
        <v>2026</v>
      </c>
      <c r="J4">
        <v>6052.2844053299996</v>
      </c>
    </row>
    <row r="5" spans="2:10" x14ac:dyDescent="0.35">
      <c r="C5" s="1">
        <v>2002</v>
      </c>
      <c r="D5">
        <v>0</v>
      </c>
      <c r="I5" s="1">
        <v>2027</v>
      </c>
      <c r="J5">
        <v>6565.45175733</v>
      </c>
    </row>
    <row r="6" spans="2:10" x14ac:dyDescent="0.35">
      <c r="C6" s="1">
        <v>2003</v>
      </c>
      <c r="D6">
        <v>0</v>
      </c>
      <c r="I6" s="1">
        <v>2028</v>
      </c>
      <c r="J6">
        <v>7238.5942263300003</v>
      </c>
    </row>
    <row r="7" spans="2:10" x14ac:dyDescent="0.35">
      <c r="C7" s="1">
        <v>2004</v>
      </c>
      <c r="D7">
        <v>0</v>
      </c>
      <c r="I7" s="1">
        <v>2029</v>
      </c>
      <c r="J7">
        <v>8115.6995483299997</v>
      </c>
    </row>
    <row r="8" spans="2:10" x14ac:dyDescent="0.35">
      <c r="C8" s="1">
        <v>2005</v>
      </c>
      <c r="D8">
        <v>0</v>
      </c>
      <c r="I8" s="1">
        <v>2030</v>
      </c>
      <c r="J8">
        <v>9206.2832273299991</v>
      </c>
    </row>
    <row r="9" spans="2:10" x14ac:dyDescent="0.35">
      <c r="C9" s="1">
        <v>2006</v>
      </c>
      <c r="D9">
        <v>0</v>
      </c>
      <c r="I9" s="1">
        <v>2031</v>
      </c>
      <c r="J9">
        <v>9809.9358943299994</v>
      </c>
    </row>
    <row r="10" spans="2:10" x14ac:dyDescent="0.35">
      <c r="C10" s="1">
        <v>2007</v>
      </c>
      <c r="D10">
        <v>0</v>
      </c>
      <c r="I10" s="1">
        <v>2032</v>
      </c>
      <c r="J10">
        <v>10499.766994329999</v>
      </c>
    </row>
    <row r="11" spans="2:10" x14ac:dyDescent="0.35">
      <c r="C11" s="1">
        <v>2008</v>
      </c>
      <c r="D11">
        <v>0</v>
      </c>
      <c r="I11" s="1">
        <v>2033</v>
      </c>
      <c r="J11">
        <v>11231.041635329999</v>
      </c>
    </row>
    <row r="12" spans="2:10" x14ac:dyDescent="0.35">
      <c r="C12" s="1">
        <v>2009</v>
      </c>
      <c r="D12">
        <v>0</v>
      </c>
      <c r="I12" s="1">
        <v>2034</v>
      </c>
      <c r="J12">
        <v>12038.474660329997</v>
      </c>
    </row>
    <row r="13" spans="2:10" x14ac:dyDescent="0.35">
      <c r="C13" s="1">
        <v>2010</v>
      </c>
      <c r="D13">
        <v>20</v>
      </c>
      <c r="I13" s="1">
        <v>2035</v>
      </c>
      <c r="J13">
        <v>12936.030157329998</v>
      </c>
    </row>
    <row r="14" spans="2:10" x14ac:dyDescent="0.35">
      <c r="C14" s="1">
        <v>2011</v>
      </c>
      <c r="D14">
        <v>35</v>
      </c>
      <c r="I14" s="1">
        <v>2036</v>
      </c>
      <c r="J14">
        <v>13290.06381333</v>
      </c>
    </row>
    <row r="15" spans="2:10" x14ac:dyDescent="0.35">
      <c r="C15" s="1">
        <v>2012</v>
      </c>
      <c r="D15">
        <v>80</v>
      </c>
      <c r="I15" s="1">
        <v>2037</v>
      </c>
      <c r="J15">
        <v>13590.06381333</v>
      </c>
    </row>
    <row r="16" spans="2:10" x14ac:dyDescent="0.35">
      <c r="C16" s="1">
        <v>2013</v>
      </c>
      <c r="D16">
        <v>150</v>
      </c>
      <c r="I16" s="1">
        <v>2038</v>
      </c>
      <c r="J16">
        <v>13790.06381333</v>
      </c>
    </row>
    <row r="17" spans="3:10" x14ac:dyDescent="0.35">
      <c r="C17" s="1">
        <v>2014</v>
      </c>
      <c r="D17">
        <v>257.01736999999997</v>
      </c>
      <c r="I17" s="1">
        <v>2039</v>
      </c>
      <c r="J17">
        <v>14090.06381333</v>
      </c>
    </row>
    <row r="18" spans="3:10" x14ac:dyDescent="0.35">
      <c r="C18" s="1">
        <v>2015</v>
      </c>
      <c r="D18">
        <v>280</v>
      </c>
      <c r="I18" s="1">
        <v>2040</v>
      </c>
      <c r="J18">
        <v>16090.06381333</v>
      </c>
    </row>
    <row r="19" spans="3:10" x14ac:dyDescent="0.35">
      <c r="C19" s="1">
        <v>2016</v>
      </c>
      <c r="D19">
        <v>309.16799999999995</v>
      </c>
      <c r="I19" s="1">
        <v>2041</v>
      </c>
      <c r="J19">
        <v>17090.063813330002</v>
      </c>
    </row>
    <row r="20" spans="3:10" x14ac:dyDescent="0.35">
      <c r="C20" s="1">
        <v>2017</v>
      </c>
      <c r="D20">
        <v>350</v>
      </c>
      <c r="I20" s="1">
        <v>2042</v>
      </c>
      <c r="J20">
        <v>17090.063813330002</v>
      </c>
    </row>
    <row r="21" spans="3:10" x14ac:dyDescent="0.35">
      <c r="C21" s="1">
        <v>2018</v>
      </c>
      <c r="D21">
        <v>400</v>
      </c>
      <c r="I21" s="1">
        <v>2043</v>
      </c>
      <c r="J21">
        <v>17090.063813330002</v>
      </c>
    </row>
    <row r="22" spans="3:10" x14ac:dyDescent="0.35">
      <c r="C22" s="1">
        <v>2019</v>
      </c>
      <c r="D22">
        <v>490</v>
      </c>
      <c r="I22" s="1">
        <v>2044</v>
      </c>
      <c r="J22">
        <v>17090.063813330002</v>
      </c>
    </row>
    <row r="23" spans="3:10" x14ac:dyDescent="0.35">
      <c r="C23" s="1">
        <v>2020</v>
      </c>
      <c r="D23">
        <v>530</v>
      </c>
      <c r="I23" s="1">
        <v>2045</v>
      </c>
      <c r="J23">
        <v>17090.063813330002</v>
      </c>
    </row>
    <row r="24" spans="3:10" x14ac:dyDescent="0.35">
      <c r="C24" s="1">
        <v>2021</v>
      </c>
      <c r="D24">
        <v>720</v>
      </c>
      <c r="I24" s="1">
        <v>2046</v>
      </c>
      <c r="J24">
        <v>17090.063813330002</v>
      </c>
    </row>
    <row r="25" spans="3:10" x14ac:dyDescent="0.35">
      <c r="C25" s="1">
        <v>2022</v>
      </c>
      <c r="D25">
        <v>800</v>
      </c>
      <c r="I25" s="1">
        <v>2047</v>
      </c>
      <c r="J25">
        <v>17090.063813330002</v>
      </c>
    </row>
    <row r="26" spans="3:10" x14ac:dyDescent="0.35">
      <c r="C26" s="1">
        <v>2023</v>
      </c>
      <c r="D26">
        <v>928.57749999999987</v>
      </c>
      <c r="I26" s="1">
        <v>2048</v>
      </c>
      <c r="J26">
        <v>17090.063813330002</v>
      </c>
    </row>
    <row r="27" spans="3:10" x14ac:dyDescent="0.35">
      <c r="C27" s="1">
        <v>2024</v>
      </c>
      <c r="D27">
        <v>1136.1279899999997</v>
      </c>
      <c r="I27" s="1">
        <v>2049</v>
      </c>
      <c r="J27">
        <v>17090.063813330002</v>
      </c>
    </row>
    <row r="28" spans="3:10" x14ac:dyDescent="0.35">
      <c r="C28" s="1"/>
      <c r="I28" s="1">
        <v>2050</v>
      </c>
      <c r="J28">
        <v>17090.063813330002</v>
      </c>
    </row>
    <row r="29" spans="3:10" x14ac:dyDescent="0.35">
      <c r="C29" s="1"/>
      <c r="I29" s="1">
        <v>2051</v>
      </c>
      <c r="J29">
        <v>17090.063813330002</v>
      </c>
    </row>
    <row r="30" spans="3:10" x14ac:dyDescent="0.35">
      <c r="C30" s="1"/>
      <c r="I30" s="1">
        <v>2052</v>
      </c>
      <c r="J30">
        <v>17090.063813330002</v>
      </c>
    </row>
    <row r="31" spans="3:10" x14ac:dyDescent="0.35">
      <c r="C31" s="1"/>
      <c r="I31" s="1">
        <v>2053</v>
      </c>
      <c r="J31">
        <v>17090.063813330002</v>
      </c>
    </row>
    <row r="32" spans="3:10" x14ac:dyDescent="0.35">
      <c r="C32" s="1"/>
      <c r="I32" s="1">
        <v>2054</v>
      </c>
      <c r="J32">
        <v>17090.063813330002</v>
      </c>
    </row>
    <row r="33" spans="3:10" x14ac:dyDescent="0.35">
      <c r="C33" s="1"/>
      <c r="I33" s="1">
        <v>2055</v>
      </c>
      <c r="J33">
        <v>17090.063813330002</v>
      </c>
    </row>
    <row r="34" spans="3:10" x14ac:dyDescent="0.35">
      <c r="C34" s="1"/>
      <c r="I34" s="1">
        <v>2056</v>
      </c>
      <c r="J34">
        <v>17090.063813330002</v>
      </c>
    </row>
    <row r="35" spans="3:10" x14ac:dyDescent="0.35">
      <c r="C35" s="1"/>
      <c r="I35" s="1">
        <v>2057</v>
      </c>
      <c r="J35">
        <v>17090.063813330002</v>
      </c>
    </row>
    <row r="36" spans="3:10" x14ac:dyDescent="0.35">
      <c r="C36" s="1"/>
      <c r="I36" s="1">
        <v>2058</v>
      </c>
      <c r="J36">
        <v>17090.063813330002</v>
      </c>
    </row>
    <row r="37" spans="3:10" x14ac:dyDescent="0.35">
      <c r="C37" s="1"/>
      <c r="I37" s="1">
        <v>2059</v>
      </c>
      <c r="J37">
        <v>17090.063813330002</v>
      </c>
    </row>
    <row r="38" spans="3:10" x14ac:dyDescent="0.35">
      <c r="C38" s="1"/>
      <c r="I38" s="1">
        <v>2060</v>
      </c>
      <c r="J38">
        <v>17090.063813330002</v>
      </c>
    </row>
    <row r="39" spans="3:10" x14ac:dyDescent="0.35">
      <c r="C39" s="1"/>
      <c r="I39" s="1">
        <v>2061</v>
      </c>
      <c r="J39">
        <v>17090.063813330002</v>
      </c>
    </row>
    <row r="40" spans="3:10" x14ac:dyDescent="0.35">
      <c r="C40" s="1"/>
      <c r="I40" s="1">
        <v>2062</v>
      </c>
      <c r="J40">
        <v>17090.063813330002</v>
      </c>
    </row>
    <row r="41" spans="3:10" x14ac:dyDescent="0.35">
      <c r="C41" s="1"/>
      <c r="I41" s="1">
        <v>2063</v>
      </c>
      <c r="J41">
        <v>17090.063813330002</v>
      </c>
    </row>
    <row r="42" spans="3:10" x14ac:dyDescent="0.35">
      <c r="C42" s="1"/>
      <c r="I42" s="1">
        <v>2064</v>
      </c>
      <c r="J42">
        <v>17090.063813330002</v>
      </c>
    </row>
    <row r="43" spans="3:10" x14ac:dyDescent="0.35">
      <c r="C43" s="1"/>
      <c r="I43" s="1">
        <v>2065</v>
      </c>
      <c r="J43">
        <v>17090.063813330002</v>
      </c>
    </row>
    <row r="44" spans="3:10" x14ac:dyDescent="0.35">
      <c r="C44" s="1"/>
      <c r="I44" s="1">
        <v>2066</v>
      </c>
      <c r="J44">
        <v>17090.063813330002</v>
      </c>
    </row>
    <row r="45" spans="3:10" x14ac:dyDescent="0.35">
      <c r="C45" s="1"/>
      <c r="I45" s="1">
        <v>2067</v>
      </c>
      <c r="J45">
        <v>17090.063813330002</v>
      </c>
    </row>
    <row r="46" spans="3:10" x14ac:dyDescent="0.35">
      <c r="C46" s="1"/>
      <c r="I46" s="1">
        <v>2068</v>
      </c>
      <c r="J46">
        <v>17090.063813330002</v>
      </c>
    </row>
    <row r="47" spans="3:10" x14ac:dyDescent="0.35">
      <c r="C47" s="1"/>
      <c r="I47" s="1">
        <v>2069</v>
      </c>
      <c r="J47">
        <v>17090.063813330002</v>
      </c>
    </row>
    <row r="48" spans="3:10" x14ac:dyDescent="0.35">
      <c r="C48" s="1"/>
      <c r="I48" s="1">
        <v>2070</v>
      </c>
      <c r="J48">
        <v>17090.063813330002</v>
      </c>
    </row>
    <row r="49" spans="3:10" x14ac:dyDescent="0.35">
      <c r="C49" s="1"/>
      <c r="I49" s="1">
        <v>2071</v>
      </c>
      <c r="J49">
        <v>17090.063813330002</v>
      </c>
    </row>
    <row r="50" spans="3:10" x14ac:dyDescent="0.35">
      <c r="C50" s="1"/>
      <c r="I50" s="1">
        <v>2072</v>
      </c>
      <c r="J50">
        <v>17090.063813330002</v>
      </c>
    </row>
    <row r="51" spans="3:10" x14ac:dyDescent="0.35">
      <c r="C51" s="1"/>
      <c r="I51" s="1">
        <v>2073</v>
      </c>
      <c r="J51">
        <v>17090.063813330002</v>
      </c>
    </row>
    <row r="52" spans="3:10" x14ac:dyDescent="0.35">
      <c r="C52" s="1"/>
      <c r="I52" s="1">
        <v>2074</v>
      </c>
      <c r="J52">
        <v>17090.063813330002</v>
      </c>
    </row>
    <row r="53" spans="3:10" x14ac:dyDescent="0.35">
      <c r="C53" s="1"/>
      <c r="I53" s="1">
        <v>2075</v>
      </c>
      <c r="J53">
        <v>17090.063813330002</v>
      </c>
    </row>
    <row r="54" spans="3:10" x14ac:dyDescent="0.35">
      <c r="C54" s="1"/>
      <c r="I54" s="1">
        <v>2076</v>
      </c>
      <c r="J54">
        <v>17090.063813330002</v>
      </c>
    </row>
    <row r="55" spans="3:10" x14ac:dyDescent="0.35">
      <c r="C55" s="1"/>
      <c r="I55" s="1">
        <v>2077</v>
      </c>
      <c r="J55">
        <v>17090.063813330002</v>
      </c>
    </row>
    <row r="56" spans="3:10" x14ac:dyDescent="0.35">
      <c r="C56" s="1"/>
      <c r="I56" s="1">
        <v>2078</v>
      </c>
      <c r="J56">
        <v>17090.063813330002</v>
      </c>
    </row>
    <row r="57" spans="3:10" x14ac:dyDescent="0.35">
      <c r="C57" s="1"/>
      <c r="I57" s="1">
        <v>2079</v>
      </c>
      <c r="J57">
        <v>17090.063813330002</v>
      </c>
    </row>
    <row r="58" spans="3:10" x14ac:dyDescent="0.35">
      <c r="C58" s="1"/>
      <c r="I58" s="1">
        <v>2080</v>
      </c>
      <c r="J58">
        <v>17090.063813330002</v>
      </c>
    </row>
    <row r="59" spans="3:10" x14ac:dyDescent="0.35">
      <c r="C59" s="1"/>
      <c r="I59" s="1">
        <v>2081</v>
      </c>
      <c r="J59">
        <v>17090.063813330002</v>
      </c>
    </row>
    <row r="60" spans="3:10" x14ac:dyDescent="0.35">
      <c r="C60" s="1"/>
      <c r="I60" s="1">
        <v>2082</v>
      </c>
      <c r="J60">
        <v>17090.063813330002</v>
      </c>
    </row>
    <row r="61" spans="3:10" x14ac:dyDescent="0.35">
      <c r="C61" s="1"/>
      <c r="I61" s="1">
        <v>2083</v>
      </c>
      <c r="J61">
        <v>17090.063813330002</v>
      </c>
    </row>
    <row r="62" spans="3:10" x14ac:dyDescent="0.35">
      <c r="C62" s="1"/>
      <c r="I62" s="1">
        <v>2084</v>
      </c>
      <c r="J62">
        <v>17090.063813330002</v>
      </c>
    </row>
    <row r="63" spans="3:10" x14ac:dyDescent="0.35">
      <c r="C63" s="1"/>
      <c r="I63" s="1">
        <v>2085</v>
      </c>
      <c r="J63">
        <v>17090.063813330002</v>
      </c>
    </row>
    <row r="64" spans="3:10" x14ac:dyDescent="0.35">
      <c r="C64" s="1"/>
      <c r="I64" s="1">
        <v>2086</v>
      </c>
      <c r="J64">
        <v>17090.063813330002</v>
      </c>
    </row>
    <row r="65" spans="3:10" x14ac:dyDescent="0.35">
      <c r="C65" s="1"/>
      <c r="I65" s="1">
        <v>2087</v>
      </c>
      <c r="J65">
        <v>17090.063813330002</v>
      </c>
    </row>
    <row r="66" spans="3:10" x14ac:dyDescent="0.35">
      <c r="C66" s="1"/>
      <c r="I66" s="1">
        <v>2088</v>
      </c>
      <c r="J66">
        <v>17090.063813330002</v>
      </c>
    </row>
    <row r="67" spans="3:10" x14ac:dyDescent="0.35">
      <c r="C67" s="1"/>
      <c r="I67" s="1">
        <v>2089</v>
      </c>
      <c r="J67">
        <v>17090.063813330002</v>
      </c>
    </row>
    <row r="68" spans="3:10" x14ac:dyDescent="0.35">
      <c r="C68" s="1"/>
      <c r="I68" s="1">
        <v>2090</v>
      </c>
      <c r="J68">
        <v>17090.063813330002</v>
      </c>
    </row>
    <row r="69" spans="3:10" x14ac:dyDescent="0.35">
      <c r="C69" s="1"/>
      <c r="I69" s="1">
        <v>2091</v>
      </c>
      <c r="J69">
        <v>17090.063813330002</v>
      </c>
    </row>
    <row r="70" spans="3:10" x14ac:dyDescent="0.35">
      <c r="C70" s="1"/>
      <c r="I70" s="1">
        <v>2092</v>
      </c>
      <c r="J70">
        <v>17090.063813330002</v>
      </c>
    </row>
    <row r="71" spans="3:10" x14ac:dyDescent="0.35">
      <c r="C71" s="1"/>
      <c r="I71" s="1">
        <v>2093</v>
      </c>
      <c r="J71">
        <v>17090.063813330002</v>
      </c>
    </row>
    <row r="72" spans="3:10" x14ac:dyDescent="0.35">
      <c r="C72" s="1"/>
      <c r="I72" s="1">
        <v>2094</v>
      </c>
      <c r="J72">
        <v>17090.063813330002</v>
      </c>
    </row>
    <row r="73" spans="3:10" x14ac:dyDescent="0.35">
      <c r="C73" s="1"/>
      <c r="I73" s="1">
        <v>2095</v>
      </c>
      <c r="J73">
        <v>17090.063813330002</v>
      </c>
    </row>
    <row r="74" spans="3:10" x14ac:dyDescent="0.35">
      <c r="C74" s="1"/>
      <c r="I74" s="1">
        <v>2096</v>
      </c>
      <c r="J74">
        <v>17090.063813330002</v>
      </c>
    </row>
    <row r="75" spans="3:10" x14ac:dyDescent="0.35">
      <c r="C75" s="1"/>
      <c r="I75" s="1">
        <v>2097</v>
      </c>
      <c r="J75">
        <v>17090.063813330002</v>
      </c>
    </row>
    <row r="76" spans="3:10" x14ac:dyDescent="0.35">
      <c r="C76" s="1"/>
      <c r="I76" s="1">
        <v>2098</v>
      </c>
      <c r="J76">
        <v>17090.063813330002</v>
      </c>
    </row>
    <row r="77" spans="3:10" x14ac:dyDescent="0.35">
      <c r="C77" s="1"/>
      <c r="I77" s="1">
        <v>2099</v>
      </c>
      <c r="J77">
        <v>17090.063813330002</v>
      </c>
    </row>
    <row r="78" spans="3:10" x14ac:dyDescent="0.35">
      <c r="C78" s="1"/>
      <c r="I78" s="1">
        <v>2100</v>
      </c>
      <c r="J78">
        <v>17090.063813330002</v>
      </c>
    </row>
    <row r="79" spans="3:10" x14ac:dyDescent="0.35">
      <c r="C79" s="1"/>
    </row>
    <row r="80" spans="3:10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76D4-5ED3-412A-B20D-686A72A49660}">
  <dimension ref="B1:J203"/>
  <sheetViews>
    <sheetView topLeftCell="C110" workbookViewId="0">
      <selection activeCell="H122" sqref="H122"/>
    </sheetView>
  </sheetViews>
  <sheetFormatPr defaultColWidth="10.90625" defaultRowHeight="14.5" x14ac:dyDescent="0.35"/>
  <cols>
    <col min="3" max="3" width="21.81640625" customWidth="1"/>
    <col min="4" max="4" width="17.1796875" customWidth="1"/>
  </cols>
  <sheetData>
    <row r="1" spans="2:10" x14ac:dyDescent="0.35">
      <c r="B1" s="1" t="s">
        <v>0</v>
      </c>
      <c r="D1" s="2" t="s">
        <v>6</v>
      </c>
      <c r="J1" s="2" t="s">
        <v>7</v>
      </c>
    </row>
    <row r="2" spans="2:10" x14ac:dyDescent="0.35">
      <c r="B2" s="1"/>
      <c r="D2" s="3"/>
      <c r="J2" s="3"/>
    </row>
    <row r="3" spans="2:10" x14ac:dyDescent="0.35">
      <c r="B3" s="1" t="s">
        <v>5</v>
      </c>
      <c r="C3" s="1">
        <v>1900</v>
      </c>
      <c r="D3">
        <v>0</v>
      </c>
    </row>
    <row r="4" spans="2:10" x14ac:dyDescent="0.35">
      <c r="C4" s="1">
        <v>1901</v>
      </c>
      <c r="D4">
        <v>0</v>
      </c>
    </row>
    <row r="5" spans="2:10" x14ac:dyDescent="0.35">
      <c r="C5" s="1">
        <v>1902</v>
      </c>
      <c r="D5">
        <v>0</v>
      </c>
    </row>
    <row r="6" spans="2:10" x14ac:dyDescent="0.35">
      <c r="C6" s="1">
        <v>1903</v>
      </c>
      <c r="D6">
        <v>0</v>
      </c>
    </row>
    <row r="7" spans="2:10" x14ac:dyDescent="0.35">
      <c r="C7" s="1">
        <v>1904</v>
      </c>
      <c r="D7">
        <v>0</v>
      </c>
    </row>
    <row r="8" spans="2:10" x14ac:dyDescent="0.35">
      <c r="C8" s="1">
        <v>1905</v>
      </c>
      <c r="D8">
        <v>0</v>
      </c>
    </row>
    <row r="9" spans="2:10" x14ac:dyDescent="0.35">
      <c r="C9" s="1">
        <v>1906</v>
      </c>
      <c r="D9">
        <v>0</v>
      </c>
    </row>
    <row r="10" spans="2:10" x14ac:dyDescent="0.35">
      <c r="C10" s="1">
        <v>1907</v>
      </c>
      <c r="D10">
        <v>0</v>
      </c>
    </row>
    <row r="11" spans="2:10" x14ac:dyDescent="0.35">
      <c r="C11" s="1">
        <v>1908</v>
      </c>
      <c r="D11">
        <v>0</v>
      </c>
    </row>
    <row r="12" spans="2:10" x14ac:dyDescent="0.35">
      <c r="C12" s="1">
        <v>1909</v>
      </c>
      <c r="D12">
        <v>0</v>
      </c>
    </row>
    <row r="13" spans="2:10" x14ac:dyDescent="0.35">
      <c r="C13" s="1">
        <v>1910</v>
      </c>
      <c r="D13">
        <v>0</v>
      </c>
    </row>
    <row r="14" spans="2:10" x14ac:dyDescent="0.35">
      <c r="C14" s="1">
        <v>1911</v>
      </c>
      <c r="D14">
        <v>0</v>
      </c>
    </row>
    <row r="15" spans="2:10" x14ac:dyDescent="0.35">
      <c r="C15" s="1">
        <v>1912</v>
      </c>
      <c r="D15">
        <v>0</v>
      </c>
    </row>
    <row r="16" spans="2:10" x14ac:dyDescent="0.35">
      <c r="C16" s="1">
        <v>1913</v>
      </c>
      <c r="D16">
        <v>0</v>
      </c>
    </row>
    <row r="17" spans="3:4" x14ac:dyDescent="0.35">
      <c r="C17" s="1">
        <v>1914</v>
      </c>
      <c r="D17">
        <v>0</v>
      </c>
    </row>
    <row r="18" spans="3:4" x14ac:dyDescent="0.35">
      <c r="C18" s="1">
        <v>1915</v>
      </c>
      <c r="D18">
        <v>0</v>
      </c>
    </row>
    <row r="19" spans="3:4" x14ac:dyDescent="0.35">
      <c r="C19" s="1">
        <v>1916</v>
      </c>
      <c r="D19">
        <v>0</v>
      </c>
    </row>
    <row r="20" spans="3:4" x14ac:dyDescent="0.35">
      <c r="C20" s="1">
        <v>1917</v>
      </c>
      <c r="D20">
        <v>0</v>
      </c>
    </row>
    <row r="21" spans="3:4" x14ac:dyDescent="0.35">
      <c r="C21" s="1">
        <v>1918</v>
      </c>
      <c r="D21">
        <v>0</v>
      </c>
    </row>
    <row r="22" spans="3:4" x14ac:dyDescent="0.35">
      <c r="C22" s="1">
        <v>1919</v>
      </c>
      <c r="D22">
        <v>0</v>
      </c>
    </row>
    <row r="23" spans="3:4" x14ac:dyDescent="0.35">
      <c r="C23" s="1">
        <v>1920</v>
      </c>
      <c r="D23">
        <v>0</v>
      </c>
    </row>
    <row r="24" spans="3:4" x14ac:dyDescent="0.35">
      <c r="C24" s="1">
        <v>1921</v>
      </c>
      <c r="D24">
        <v>0</v>
      </c>
    </row>
    <row r="25" spans="3:4" x14ac:dyDescent="0.35">
      <c r="C25" s="1">
        <v>1922</v>
      </c>
      <c r="D25">
        <v>0</v>
      </c>
    </row>
    <row r="26" spans="3:4" x14ac:dyDescent="0.35">
      <c r="C26" s="1">
        <v>1923</v>
      </c>
      <c r="D26">
        <v>0</v>
      </c>
    </row>
    <row r="27" spans="3:4" x14ac:dyDescent="0.35">
      <c r="C27" s="1">
        <v>1924</v>
      </c>
      <c r="D27">
        <v>0</v>
      </c>
    </row>
    <row r="28" spans="3:4" x14ac:dyDescent="0.35">
      <c r="C28" s="1">
        <v>1925</v>
      </c>
      <c r="D28">
        <v>0</v>
      </c>
    </row>
    <row r="29" spans="3:4" x14ac:dyDescent="0.35">
      <c r="C29" s="1">
        <v>1926</v>
      </c>
      <c r="D29">
        <v>0</v>
      </c>
    </row>
    <row r="30" spans="3:4" x14ac:dyDescent="0.35">
      <c r="C30" s="1">
        <v>1927</v>
      </c>
      <c r="D30">
        <v>0</v>
      </c>
    </row>
    <row r="31" spans="3:4" x14ac:dyDescent="0.35">
      <c r="C31" s="1">
        <v>1928</v>
      </c>
      <c r="D31">
        <v>0</v>
      </c>
    </row>
    <row r="32" spans="3:4" x14ac:dyDescent="0.35">
      <c r="C32" s="1">
        <v>1929</v>
      </c>
      <c r="D32">
        <v>0</v>
      </c>
    </row>
    <row r="33" spans="3:4" x14ac:dyDescent="0.35">
      <c r="C33" s="1">
        <v>1930</v>
      </c>
      <c r="D33">
        <v>0</v>
      </c>
    </row>
    <row r="34" spans="3:4" x14ac:dyDescent="0.35">
      <c r="C34" s="1">
        <v>1931</v>
      </c>
      <c r="D34">
        <v>0</v>
      </c>
    </row>
    <row r="35" spans="3:4" x14ac:dyDescent="0.35">
      <c r="C35" s="1">
        <v>1932</v>
      </c>
      <c r="D35">
        <v>0</v>
      </c>
    </row>
    <row r="36" spans="3:4" x14ac:dyDescent="0.35">
      <c r="C36" s="1">
        <v>1933</v>
      </c>
      <c r="D36">
        <v>0</v>
      </c>
    </row>
    <row r="37" spans="3:4" x14ac:dyDescent="0.35">
      <c r="C37" s="1">
        <v>1934</v>
      </c>
      <c r="D37">
        <v>0</v>
      </c>
    </row>
    <row r="38" spans="3:4" x14ac:dyDescent="0.35">
      <c r="C38" s="1">
        <v>1935</v>
      </c>
      <c r="D38">
        <v>0</v>
      </c>
    </row>
    <row r="39" spans="3:4" x14ac:dyDescent="0.35">
      <c r="C39" s="1">
        <v>1936</v>
      </c>
      <c r="D39">
        <v>0</v>
      </c>
    </row>
    <row r="40" spans="3:4" x14ac:dyDescent="0.35">
      <c r="C40" s="1">
        <v>1937</v>
      </c>
      <c r="D40">
        <v>0</v>
      </c>
    </row>
    <row r="41" spans="3:4" x14ac:dyDescent="0.35">
      <c r="C41" s="1">
        <v>1938</v>
      </c>
      <c r="D41">
        <v>0</v>
      </c>
    </row>
    <row r="42" spans="3:4" x14ac:dyDescent="0.35">
      <c r="C42" s="1">
        <v>1939</v>
      </c>
      <c r="D42">
        <v>0</v>
      </c>
    </row>
    <row r="43" spans="3:4" x14ac:dyDescent="0.35">
      <c r="C43" s="1">
        <v>1940</v>
      </c>
      <c r="D43">
        <v>0</v>
      </c>
    </row>
    <row r="44" spans="3:4" x14ac:dyDescent="0.35">
      <c r="C44" s="1">
        <v>1941</v>
      </c>
      <c r="D44">
        <v>0</v>
      </c>
    </row>
    <row r="45" spans="3:4" x14ac:dyDescent="0.35">
      <c r="C45" s="1">
        <v>1942</v>
      </c>
      <c r="D45">
        <v>0</v>
      </c>
    </row>
    <row r="46" spans="3:4" x14ac:dyDescent="0.35">
      <c r="C46" s="1">
        <v>1943</v>
      </c>
      <c r="D46">
        <v>0</v>
      </c>
    </row>
    <row r="47" spans="3:4" x14ac:dyDescent="0.35">
      <c r="C47" s="1">
        <v>1944</v>
      </c>
      <c r="D47">
        <v>0</v>
      </c>
    </row>
    <row r="48" spans="3:4" x14ac:dyDescent="0.35">
      <c r="C48" s="1">
        <v>1945</v>
      </c>
      <c r="D48">
        <v>0</v>
      </c>
    </row>
    <row r="49" spans="3:4" x14ac:dyDescent="0.35">
      <c r="C49" s="1">
        <v>1946</v>
      </c>
      <c r="D49">
        <v>0</v>
      </c>
    </row>
    <row r="50" spans="3:4" x14ac:dyDescent="0.35">
      <c r="C50" s="1">
        <v>1947</v>
      </c>
      <c r="D50">
        <v>0</v>
      </c>
    </row>
    <row r="51" spans="3:4" x14ac:dyDescent="0.35">
      <c r="C51" s="1">
        <v>1948</v>
      </c>
      <c r="D51">
        <v>0</v>
      </c>
    </row>
    <row r="52" spans="3:4" x14ac:dyDescent="0.35">
      <c r="C52" s="1">
        <v>1949</v>
      </c>
      <c r="D52">
        <v>0</v>
      </c>
    </row>
    <row r="53" spans="3:4" x14ac:dyDescent="0.35">
      <c r="C53" s="1">
        <v>1950</v>
      </c>
      <c r="D53">
        <v>0</v>
      </c>
    </row>
    <row r="54" spans="3:4" x14ac:dyDescent="0.35">
      <c r="C54" s="1">
        <v>1951</v>
      </c>
      <c r="D54">
        <v>0</v>
      </c>
    </row>
    <row r="55" spans="3:4" x14ac:dyDescent="0.35">
      <c r="C55" s="1">
        <v>1952</v>
      </c>
      <c r="D55">
        <v>0</v>
      </c>
    </row>
    <row r="56" spans="3:4" x14ac:dyDescent="0.35">
      <c r="C56" s="1">
        <v>1953</v>
      </c>
      <c r="D56">
        <v>0</v>
      </c>
    </row>
    <row r="57" spans="3:4" x14ac:dyDescent="0.35">
      <c r="C57" s="1">
        <v>1954</v>
      </c>
      <c r="D57">
        <v>0</v>
      </c>
    </row>
    <row r="58" spans="3:4" x14ac:dyDescent="0.35">
      <c r="C58" s="1">
        <v>1955</v>
      </c>
      <c r="D58">
        <v>0</v>
      </c>
    </row>
    <row r="59" spans="3:4" x14ac:dyDescent="0.35">
      <c r="C59" s="1">
        <v>1956</v>
      </c>
      <c r="D59">
        <v>0</v>
      </c>
    </row>
    <row r="60" spans="3:4" x14ac:dyDescent="0.35">
      <c r="C60" s="1">
        <v>1957</v>
      </c>
      <c r="D60">
        <v>0</v>
      </c>
    </row>
    <row r="61" spans="3:4" x14ac:dyDescent="0.35">
      <c r="C61" s="1">
        <v>1958</v>
      </c>
      <c r="D61">
        <v>0</v>
      </c>
    </row>
    <row r="62" spans="3:4" x14ac:dyDescent="0.35">
      <c r="C62" s="1">
        <v>1959</v>
      </c>
      <c r="D62">
        <v>0</v>
      </c>
    </row>
    <row r="63" spans="3:4" x14ac:dyDescent="0.35">
      <c r="C63" s="1">
        <v>1960</v>
      </c>
      <c r="D63">
        <v>0</v>
      </c>
    </row>
    <row r="64" spans="3:4" x14ac:dyDescent="0.35">
      <c r="C64" s="1">
        <v>1961</v>
      </c>
      <c r="D64">
        <v>0</v>
      </c>
    </row>
    <row r="65" spans="3:4" x14ac:dyDescent="0.35">
      <c r="C65" s="1">
        <v>1962</v>
      </c>
      <c r="D65">
        <v>0</v>
      </c>
    </row>
    <row r="66" spans="3:4" x14ac:dyDescent="0.35">
      <c r="C66" s="1">
        <v>1963</v>
      </c>
      <c r="D66">
        <v>0</v>
      </c>
    </row>
    <row r="67" spans="3:4" x14ac:dyDescent="0.35">
      <c r="C67" s="1">
        <v>1964</v>
      </c>
      <c r="D67">
        <v>0</v>
      </c>
    </row>
    <row r="68" spans="3:4" x14ac:dyDescent="0.35">
      <c r="C68" s="1">
        <v>1965</v>
      </c>
      <c r="D68">
        <v>0</v>
      </c>
    </row>
    <row r="69" spans="3:4" x14ac:dyDescent="0.35">
      <c r="C69" s="1">
        <v>1966</v>
      </c>
      <c r="D69">
        <v>0</v>
      </c>
    </row>
    <row r="70" spans="3:4" x14ac:dyDescent="0.35">
      <c r="C70" s="1">
        <v>1967</v>
      </c>
      <c r="D70">
        <v>0</v>
      </c>
    </row>
    <row r="71" spans="3:4" x14ac:dyDescent="0.35">
      <c r="C71" s="1">
        <v>1968</v>
      </c>
      <c r="D71">
        <v>0</v>
      </c>
    </row>
    <row r="72" spans="3:4" x14ac:dyDescent="0.35">
      <c r="C72" s="1">
        <v>1969</v>
      </c>
      <c r="D72">
        <v>0</v>
      </c>
    </row>
    <row r="73" spans="3:4" x14ac:dyDescent="0.35">
      <c r="C73" s="1">
        <v>1970</v>
      </c>
      <c r="D73">
        <v>0</v>
      </c>
    </row>
    <row r="74" spans="3:4" x14ac:dyDescent="0.35">
      <c r="C74" s="1">
        <v>1971</v>
      </c>
      <c r="D74">
        <v>0</v>
      </c>
    </row>
    <row r="75" spans="3:4" x14ac:dyDescent="0.35">
      <c r="C75" s="1">
        <v>1972</v>
      </c>
      <c r="D75">
        <v>0</v>
      </c>
    </row>
    <row r="76" spans="3:4" x14ac:dyDescent="0.35">
      <c r="C76" s="1">
        <v>1973</v>
      </c>
      <c r="D76">
        <v>0</v>
      </c>
    </row>
    <row r="77" spans="3:4" x14ac:dyDescent="0.35">
      <c r="C77" s="1">
        <v>1974</v>
      </c>
      <c r="D77">
        <v>0</v>
      </c>
    </row>
    <row r="78" spans="3:4" x14ac:dyDescent="0.35">
      <c r="C78" s="1">
        <v>1975</v>
      </c>
      <c r="D78">
        <v>0</v>
      </c>
    </row>
    <row r="79" spans="3:4" x14ac:dyDescent="0.35">
      <c r="C79" s="1">
        <v>1976</v>
      </c>
      <c r="D79">
        <v>0</v>
      </c>
    </row>
    <row r="80" spans="3:4" x14ac:dyDescent="0.35">
      <c r="C80" s="1">
        <v>1977</v>
      </c>
      <c r="D80">
        <v>0</v>
      </c>
    </row>
    <row r="81" spans="3:4" x14ac:dyDescent="0.35">
      <c r="C81" s="1">
        <v>1978</v>
      </c>
      <c r="D81">
        <v>0</v>
      </c>
    </row>
    <row r="82" spans="3:4" x14ac:dyDescent="0.35">
      <c r="C82" s="1">
        <v>1979</v>
      </c>
      <c r="D82">
        <v>0</v>
      </c>
    </row>
    <row r="83" spans="3:4" x14ac:dyDescent="0.35">
      <c r="C83" s="1">
        <v>1980</v>
      </c>
      <c r="D83">
        <v>0</v>
      </c>
    </row>
    <row r="84" spans="3:4" x14ac:dyDescent="0.35">
      <c r="C84" s="1">
        <v>1981</v>
      </c>
      <c r="D84">
        <v>0</v>
      </c>
    </row>
    <row r="85" spans="3:4" x14ac:dyDescent="0.35">
      <c r="C85" s="1">
        <v>1982</v>
      </c>
      <c r="D85">
        <v>0</v>
      </c>
    </row>
    <row r="86" spans="3:4" x14ac:dyDescent="0.35">
      <c r="C86" s="1">
        <v>1983</v>
      </c>
      <c r="D86">
        <v>0</v>
      </c>
    </row>
    <row r="87" spans="3:4" x14ac:dyDescent="0.35">
      <c r="C87" s="1">
        <v>1984</v>
      </c>
      <c r="D87">
        <v>0</v>
      </c>
    </row>
    <row r="88" spans="3:4" x14ac:dyDescent="0.35">
      <c r="C88" s="1">
        <v>1985</v>
      </c>
      <c r="D88">
        <v>0</v>
      </c>
    </row>
    <row r="89" spans="3:4" x14ac:dyDescent="0.35">
      <c r="C89" s="1">
        <v>1986</v>
      </c>
      <c r="D89">
        <v>0</v>
      </c>
    </row>
    <row r="90" spans="3:4" x14ac:dyDescent="0.35">
      <c r="C90" s="1">
        <v>1987</v>
      </c>
      <c r="D90">
        <v>0</v>
      </c>
    </row>
    <row r="91" spans="3:4" x14ac:dyDescent="0.35">
      <c r="C91" s="1">
        <v>1988</v>
      </c>
      <c r="D91">
        <v>0</v>
      </c>
    </row>
    <row r="92" spans="3:4" x14ac:dyDescent="0.35">
      <c r="C92" s="1">
        <v>1989</v>
      </c>
      <c r="D92">
        <v>0</v>
      </c>
    </row>
    <row r="93" spans="3:4" x14ac:dyDescent="0.35">
      <c r="C93" s="1">
        <v>1990</v>
      </c>
      <c r="D93">
        <v>0</v>
      </c>
    </row>
    <row r="94" spans="3:4" x14ac:dyDescent="0.35">
      <c r="C94" s="1">
        <v>1991</v>
      </c>
      <c r="D94">
        <v>0</v>
      </c>
    </row>
    <row r="95" spans="3:4" x14ac:dyDescent="0.35">
      <c r="C95" s="1">
        <v>1992</v>
      </c>
      <c r="D95">
        <v>0</v>
      </c>
    </row>
    <row r="96" spans="3:4" x14ac:dyDescent="0.35">
      <c r="C96" s="1">
        <v>1993</v>
      </c>
      <c r="D96">
        <v>0</v>
      </c>
    </row>
    <row r="97" spans="3:4" x14ac:dyDescent="0.35">
      <c r="C97" s="1">
        <v>1994</v>
      </c>
      <c r="D97">
        <v>0</v>
      </c>
    </row>
    <row r="98" spans="3:4" x14ac:dyDescent="0.35">
      <c r="C98" s="1">
        <v>1995</v>
      </c>
      <c r="D98">
        <v>0</v>
      </c>
    </row>
    <row r="99" spans="3:4" x14ac:dyDescent="0.35">
      <c r="C99" s="1">
        <v>1996</v>
      </c>
      <c r="D99">
        <v>0</v>
      </c>
    </row>
    <row r="100" spans="3:4" x14ac:dyDescent="0.35">
      <c r="C100" s="1">
        <v>1997</v>
      </c>
      <c r="D100">
        <v>0</v>
      </c>
    </row>
    <row r="101" spans="3:4" x14ac:dyDescent="0.35">
      <c r="C101" s="1">
        <v>1998</v>
      </c>
      <c r="D101">
        <v>0</v>
      </c>
    </row>
    <row r="102" spans="3:4" x14ac:dyDescent="0.35">
      <c r="C102" s="1">
        <v>1999</v>
      </c>
      <c r="D102">
        <v>0</v>
      </c>
    </row>
    <row r="103" spans="3:4" x14ac:dyDescent="0.35">
      <c r="C103" s="1">
        <v>2000</v>
      </c>
      <c r="D103">
        <v>0</v>
      </c>
    </row>
    <row r="104" spans="3:4" x14ac:dyDescent="0.35">
      <c r="C104" s="1">
        <v>2001</v>
      </c>
      <c r="D104">
        <v>0</v>
      </c>
    </row>
    <row r="105" spans="3:4" x14ac:dyDescent="0.35">
      <c r="C105" s="1">
        <v>2002</v>
      </c>
      <c r="D105">
        <v>0</v>
      </c>
    </row>
    <row r="106" spans="3:4" x14ac:dyDescent="0.35">
      <c r="C106" s="1">
        <v>2003</v>
      </c>
      <c r="D106">
        <v>0</v>
      </c>
    </row>
    <row r="107" spans="3:4" x14ac:dyDescent="0.35">
      <c r="C107" s="1">
        <v>2004</v>
      </c>
      <c r="D107">
        <v>0</v>
      </c>
    </row>
    <row r="108" spans="3:4" x14ac:dyDescent="0.35">
      <c r="C108" s="1">
        <v>2005</v>
      </c>
      <c r="D108">
        <v>0</v>
      </c>
    </row>
    <row r="109" spans="3:4" x14ac:dyDescent="0.35">
      <c r="C109" s="1">
        <v>2006</v>
      </c>
      <c r="D109">
        <v>0</v>
      </c>
    </row>
    <row r="110" spans="3:4" x14ac:dyDescent="0.35">
      <c r="C110" s="1">
        <v>2007</v>
      </c>
      <c r="D110">
        <v>0</v>
      </c>
    </row>
    <row r="111" spans="3:4" x14ac:dyDescent="0.35">
      <c r="C111" s="1">
        <v>2008</v>
      </c>
      <c r="D111">
        <v>0</v>
      </c>
    </row>
    <row r="112" spans="3:4" x14ac:dyDescent="0.35">
      <c r="C112" s="1">
        <v>2009</v>
      </c>
      <c r="D112">
        <v>0</v>
      </c>
    </row>
    <row r="113" spans="3:8" x14ac:dyDescent="0.35">
      <c r="C113" s="1">
        <v>2010</v>
      </c>
      <c r="D113">
        <v>20</v>
      </c>
    </row>
    <row r="114" spans="3:8" x14ac:dyDescent="0.35">
      <c r="C114" s="1">
        <v>2011</v>
      </c>
      <c r="D114">
        <v>35</v>
      </c>
    </row>
    <row r="115" spans="3:8" x14ac:dyDescent="0.35">
      <c r="C115" s="1">
        <v>2012</v>
      </c>
      <c r="D115">
        <v>80</v>
      </c>
    </row>
    <row r="116" spans="3:8" x14ac:dyDescent="0.35">
      <c r="C116" s="1">
        <v>2013</v>
      </c>
      <c r="D116">
        <v>150</v>
      </c>
    </row>
    <row r="117" spans="3:8" x14ac:dyDescent="0.35">
      <c r="C117" s="1">
        <v>2014</v>
      </c>
      <c r="D117">
        <f>119710*H122</f>
        <v>257.01736999999997</v>
      </c>
    </row>
    <row r="118" spans="3:8" x14ac:dyDescent="0.35">
      <c r="C118" s="1">
        <v>2015</v>
      </c>
      <c r="D118">
        <v>280</v>
      </c>
    </row>
    <row r="119" spans="3:8" x14ac:dyDescent="0.35">
      <c r="C119" s="1">
        <v>2016</v>
      </c>
      <c r="D119">
        <f>144000*H122</f>
        <v>309.16799999999995</v>
      </c>
    </row>
    <row r="120" spans="3:8" x14ac:dyDescent="0.35">
      <c r="C120" s="1">
        <v>2017</v>
      </c>
      <c r="D120">
        <v>350</v>
      </c>
    </row>
    <row r="121" spans="3:8" x14ac:dyDescent="0.35">
      <c r="C121" s="1">
        <v>2018</v>
      </c>
      <c r="D121">
        <v>400</v>
      </c>
    </row>
    <row r="122" spans="3:8" x14ac:dyDescent="0.35">
      <c r="C122" s="1">
        <v>2019</v>
      </c>
      <c r="D122">
        <v>490</v>
      </c>
      <c r="H122">
        <f>2.147/1000</f>
        <v>2.1469999999999996E-3</v>
      </c>
    </row>
    <row r="123" spans="3:8" x14ac:dyDescent="0.35">
      <c r="C123" s="1">
        <v>2020</v>
      </c>
      <c r="D123">
        <v>530</v>
      </c>
    </row>
    <row r="124" spans="3:8" x14ac:dyDescent="0.35">
      <c r="C124" s="1">
        <v>2021</v>
      </c>
      <c r="D124">
        <v>720</v>
      </c>
    </row>
    <row r="125" spans="3:8" x14ac:dyDescent="0.35">
      <c r="C125" s="1">
        <v>2022</v>
      </c>
      <c r="D125">
        <v>800</v>
      </c>
    </row>
    <row r="126" spans="3:8" x14ac:dyDescent="0.35">
      <c r="C126" s="1">
        <v>2023</v>
      </c>
      <c r="D126">
        <f>G126*$H$122</f>
        <v>928.57749999999987</v>
      </c>
      <c r="E126" s="8">
        <v>407759</v>
      </c>
      <c r="F126" s="8">
        <v>24741</v>
      </c>
      <c r="G126" s="7">
        <f>SUM(E126:F126)</f>
        <v>432500</v>
      </c>
    </row>
    <row r="127" spans="3:8" x14ac:dyDescent="0.35">
      <c r="C127" s="1">
        <v>2024</v>
      </c>
      <c r="D127">
        <f>G127*$H$122</f>
        <v>1136.1279899999997</v>
      </c>
      <c r="E127" s="8">
        <v>487813</v>
      </c>
      <c r="F127" s="8">
        <v>41357</v>
      </c>
      <c r="G127" s="7">
        <f t="shared" ref="G127:G138" si="0">SUM(E127:F127)</f>
        <v>529170</v>
      </c>
    </row>
    <row r="128" spans="3:8" x14ac:dyDescent="0.35">
      <c r="C128" s="1">
        <v>2025</v>
      </c>
      <c r="D128">
        <f t="shared" ref="D128:D138" si="1">G128*$H$122</f>
        <v>1519.4404879999997</v>
      </c>
      <c r="E128" s="8">
        <v>652675</v>
      </c>
      <c r="F128" s="8">
        <v>55029</v>
      </c>
      <c r="G128" s="7">
        <f t="shared" si="0"/>
        <v>707704</v>
      </c>
    </row>
    <row r="129" spans="3:7" x14ac:dyDescent="0.35">
      <c r="C129" s="1">
        <v>2026</v>
      </c>
      <c r="D129">
        <f t="shared" si="1"/>
        <v>1962.2205919999997</v>
      </c>
      <c r="E129" s="8">
        <v>839950</v>
      </c>
      <c r="F129" s="8">
        <v>73986</v>
      </c>
      <c r="G129" s="7">
        <f t="shared" si="0"/>
        <v>913936</v>
      </c>
    </row>
    <row r="130" spans="3:7" x14ac:dyDescent="0.35">
      <c r="C130" s="1">
        <v>2027</v>
      </c>
      <c r="D130">
        <f t="shared" si="1"/>
        <v>2475.3879439999996</v>
      </c>
      <c r="E130" s="8">
        <v>1062801</v>
      </c>
      <c r="F130" s="8">
        <v>90151</v>
      </c>
      <c r="G130" s="7">
        <f t="shared" si="0"/>
        <v>1152952</v>
      </c>
    </row>
    <row r="131" spans="3:7" x14ac:dyDescent="0.35">
      <c r="C131" s="1">
        <v>2028</v>
      </c>
      <c r="D131">
        <f t="shared" si="1"/>
        <v>3148.5304129999995</v>
      </c>
      <c r="E131" s="8">
        <v>1353789</v>
      </c>
      <c r="F131" s="8">
        <v>112690</v>
      </c>
      <c r="G131" s="7">
        <f t="shared" si="0"/>
        <v>1466479</v>
      </c>
    </row>
    <row r="132" spans="3:7" x14ac:dyDescent="0.35">
      <c r="C132" s="1">
        <v>2029</v>
      </c>
      <c r="D132">
        <f t="shared" si="1"/>
        <v>4025.6357349999994</v>
      </c>
      <c r="E132" s="8">
        <v>1732167</v>
      </c>
      <c r="F132" s="8">
        <v>142838</v>
      </c>
      <c r="G132" s="7">
        <f t="shared" si="0"/>
        <v>1875005</v>
      </c>
    </row>
    <row r="133" spans="3:7" x14ac:dyDescent="0.35">
      <c r="C133" s="1">
        <v>2030</v>
      </c>
      <c r="D133">
        <f t="shared" si="1"/>
        <v>5116.2194139999992</v>
      </c>
      <c r="E133" s="8">
        <v>2196367</v>
      </c>
      <c r="F133" s="8">
        <v>186595</v>
      </c>
      <c r="G133" s="7">
        <f t="shared" si="0"/>
        <v>2382962</v>
      </c>
    </row>
    <row r="134" spans="3:7" x14ac:dyDescent="0.35">
      <c r="C134" s="1">
        <v>2031</v>
      </c>
      <c r="D134">
        <f t="shared" si="1"/>
        <v>5719.8720809999986</v>
      </c>
      <c r="E134" s="8">
        <v>2457526</v>
      </c>
      <c r="F134" s="8">
        <v>206597</v>
      </c>
      <c r="G134" s="7">
        <f t="shared" si="0"/>
        <v>2664123</v>
      </c>
    </row>
    <row r="135" spans="3:7" x14ac:dyDescent="0.35">
      <c r="C135" s="1">
        <v>2032</v>
      </c>
      <c r="D135">
        <f t="shared" si="1"/>
        <v>6409.7031809999989</v>
      </c>
      <c r="E135" s="8">
        <v>2756663</v>
      </c>
      <c r="F135" s="8">
        <v>228760</v>
      </c>
      <c r="G135" s="7">
        <f t="shared" si="0"/>
        <v>2985423</v>
      </c>
    </row>
    <row r="136" spans="3:7" x14ac:dyDescent="0.35">
      <c r="C136" s="1">
        <v>2033</v>
      </c>
      <c r="D136">
        <f t="shared" si="1"/>
        <v>7140.9778219999989</v>
      </c>
      <c r="E136" s="8">
        <v>3072706</v>
      </c>
      <c r="F136" s="8">
        <v>253320</v>
      </c>
      <c r="G136" s="7">
        <f t="shared" si="0"/>
        <v>3326026</v>
      </c>
    </row>
    <row r="137" spans="3:7" x14ac:dyDescent="0.35">
      <c r="C137" s="1">
        <v>2034</v>
      </c>
      <c r="D137">
        <f t="shared" si="1"/>
        <v>7948.4108469999983</v>
      </c>
      <c r="E137" s="8">
        <v>3421562</v>
      </c>
      <c r="F137" s="8">
        <v>280539</v>
      </c>
      <c r="G137" s="7">
        <f t="shared" si="0"/>
        <v>3702101</v>
      </c>
    </row>
    <row r="138" spans="3:7" x14ac:dyDescent="0.35">
      <c r="C138" s="1">
        <v>2035</v>
      </c>
      <c r="D138">
        <f t="shared" si="1"/>
        <v>8845.9663439999986</v>
      </c>
      <c r="E138" s="9">
        <v>3809447</v>
      </c>
      <c r="F138" s="9">
        <v>310705</v>
      </c>
      <c r="G138" s="7">
        <f t="shared" si="0"/>
        <v>4120152</v>
      </c>
    </row>
    <row r="139" spans="3:7" x14ac:dyDescent="0.35">
      <c r="C139" s="1">
        <v>2036</v>
      </c>
      <c r="D139">
        <v>9200</v>
      </c>
    </row>
    <row r="140" spans="3:7" x14ac:dyDescent="0.35">
      <c r="C140" s="1">
        <v>2037</v>
      </c>
      <c r="D140">
        <v>9500</v>
      </c>
    </row>
    <row r="141" spans="3:7" x14ac:dyDescent="0.35">
      <c r="C141" s="1">
        <v>2038</v>
      </c>
      <c r="D141">
        <v>9700</v>
      </c>
    </row>
    <row r="142" spans="3:7" x14ac:dyDescent="0.35">
      <c r="C142" s="1">
        <v>2039</v>
      </c>
      <c r="D142">
        <v>10000</v>
      </c>
    </row>
    <row r="143" spans="3:7" x14ac:dyDescent="0.35">
      <c r="C143" s="1">
        <v>2040</v>
      </c>
      <c r="D143">
        <v>12000</v>
      </c>
    </row>
    <row r="144" spans="3:7" x14ac:dyDescent="0.35">
      <c r="C144" s="1">
        <v>2041</v>
      </c>
      <c r="D144">
        <v>13000</v>
      </c>
    </row>
    <row r="145" spans="3:4" x14ac:dyDescent="0.35">
      <c r="C145" s="1">
        <v>2042</v>
      </c>
      <c r="D145">
        <v>13000</v>
      </c>
    </row>
    <row r="146" spans="3:4" x14ac:dyDescent="0.35">
      <c r="C146" s="1">
        <v>2043</v>
      </c>
      <c r="D146">
        <v>13000</v>
      </c>
    </row>
    <row r="147" spans="3:4" x14ac:dyDescent="0.35">
      <c r="C147" s="1">
        <v>2044</v>
      </c>
      <c r="D147">
        <v>13000</v>
      </c>
    </row>
    <row r="148" spans="3:4" x14ac:dyDescent="0.35">
      <c r="C148" s="1">
        <v>2045</v>
      </c>
      <c r="D148">
        <v>13000</v>
      </c>
    </row>
    <row r="149" spans="3:4" x14ac:dyDescent="0.35">
      <c r="C149" s="1">
        <v>2046</v>
      </c>
      <c r="D149">
        <v>13000</v>
      </c>
    </row>
    <row r="150" spans="3:4" x14ac:dyDescent="0.35">
      <c r="C150" s="1">
        <v>2047</v>
      </c>
      <c r="D150">
        <v>13000</v>
      </c>
    </row>
    <row r="151" spans="3:4" x14ac:dyDescent="0.35">
      <c r="C151" s="1">
        <v>2048</v>
      </c>
      <c r="D151">
        <v>13000</v>
      </c>
    </row>
    <row r="152" spans="3:4" x14ac:dyDescent="0.35">
      <c r="C152" s="1">
        <v>2049</v>
      </c>
      <c r="D152">
        <v>13000</v>
      </c>
    </row>
    <row r="153" spans="3:4" x14ac:dyDescent="0.35">
      <c r="C153" s="1">
        <v>2050</v>
      </c>
      <c r="D153">
        <v>13000</v>
      </c>
    </row>
    <row r="154" spans="3:4" x14ac:dyDescent="0.35">
      <c r="C154" s="1">
        <v>2051</v>
      </c>
      <c r="D154">
        <v>13000</v>
      </c>
    </row>
    <row r="155" spans="3:4" x14ac:dyDescent="0.35">
      <c r="C155" s="1">
        <v>2052</v>
      </c>
      <c r="D155">
        <v>13000</v>
      </c>
    </row>
    <row r="156" spans="3:4" x14ac:dyDescent="0.35">
      <c r="C156" s="1">
        <v>2053</v>
      </c>
      <c r="D156">
        <v>13000</v>
      </c>
    </row>
    <row r="157" spans="3:4" x14ac:dyDescent="0.35">
      <c r="C157" s="1">
        <v>2054</v>
      </c>
      <c r="D157">
        <v>13000</v>
      </c>
    </row>
    <row r="158" spans="3:4" x14ac:dyDescent="0.35">
      <c r="C158" s="1">
        <v>2055</v>
      </c>
      <c r="D158">
        <v>13000</v>
      </c>
    </row>
    <row r="159" spans="3:4" x14ac:dyDescent="0.35">
      <c r="C159" s="1">
        <v>2056</v>
      </c>
      <c r="D159">
        <v>13000</v>
      </c>
    </row>
    <row r="160" spans="3:4" x14ac:dyDescent="0.35">
      <c r="C160" s="1">
        <v>2057</v>
      </c>
      <c r="D160">
        <v>13000</v>
      </c>
    </row>
    <row r="161" spans="3:4" x14ac:dyDescent="0.35">
      <c r="C161" s="1">
        <v>2058</v>
      </c>
      <c r="D161">
        <v>13000</v>
      </c>
    </row>
    <row r="162" spans="3:4" x14ac:dyDescent="0.35">
      <c r="C162" s="1">
        <v>2059</v>
      </c>
      <c r="D162">
        <v>13000</v>
      </c>
    </row>
    <row r="163" spans="3:4" x14ac:dyDescent="0.35">
      <c r="C163" s="1">
        <v>2060</v>
      </c>
      <c r="D163">
        <v>13000</v>
      </c>
    </row>
    <row r="164" spans="3:4" x14ac:dyDescent="0.35">
      <c r="C164" s="1">
        <v>2061</v>
      </c>
      <c r="D164">
        <v>13000</v>
      </c>
    </row>
    <row r="165" spans="3:4" x14ac:dyDescent="0.35">
      <c r="C165" s="1">
        <v>2062</v>
      </c>
      <c r="D165">
        <v>13000</v>
      </c>
    </row>
    <row r="166" spans="3:4" x14ac:dyDescent="0.35">
      <c r="C166" s="1">
        <v>2063</v>
      </c>
      <c r="D166">
        <v>13000</v>
      </c>
    </row>
    <row r="167" spans="3:4" x14ac:dyDescent="0.35">
      <c r="C167" s="1">
        <v>2064</v>
      </c>
      <c r="D167">
        <v>13000</v>
      </c>
    </row>
    <row r="168" spans="3:4" x14ac:dyDescent="0.35">
      <c r="C168" s="1">
        <v>2065</v>
      </c>
      <c r="D168">
        <v>13000</v>
      </c>
    </row>
    <row r="169" spans="3:4" x14ac:dyDescent="0.35">
      <c r="C169" s="1">
        <v>2066</v>
      </c>
      <c r="D169">
        <v>13000</v>
      </c>
    </row>
    <row r="170" spans="3:4" x14ac:dyDescent="0.35">
      <c r="C170" s="1">
        <v>2067</v>
      </c>
      <c r="D170">
        <v>13000</v>
      </c>
    </row>
    <row r="171" spans="3:4" x14ac:dyDescent="0.35">
      <c r="C171" s="1">
        <v>2068</v>
      </c>
      <c r="D171">
        <v>13000</v>
      </c>
    </row>
    <row r="172" spans="3:4" x14ac:dyDescent="0.35">
      <c r="C172" s="1">
        <v>2069</v>
      </c>
      <c r="D172">
        <v>13000</v>
      </c>
    </row>
    <row r="173" spans="3:4" x14ac:dyDescent="0.35">
      <c r="C173" s="1">
        <v>2070</v>
      </c>
      <c r="D173">
        <v>13000</v>
      </c>
    </row>
    <row r="174" spans="3:4" x14ac:dyDescent="0.35">
      <c r="C174" s="1">
        <v>2071</v>
      </c>
      <c r="D174">
        <v>13000</v>
      </c>
    </row>
    <row r="175" spans="3:4" x14ac:dyDescent="0.35">
      <c r="C175" s="1">
        <v>2072</v>
      </c>
      <c r="D175">
        <v>13000</v>
      </c>
    </row>
    <row r="176" spans="3:4" x14ac:dyDescent="0.35">
      <c r="C176" s="1">
        <v>2073</v>
      </c>
      <c r="D176">
        <v>13000</v>
      </c>
    </row>
    <row r="177" spans="3:4" x14ac:dyDescent="0.35">
      <c r="C177" s="1">
        <v>2074</v>
      </c>
      <c r="D177">
        <v>13000</v>
      </c>
    </row>
    <row r="178" spans="3:4" x14ac:dyDescent="0.35">
      <c r="C178" s="1">
        <v>2075</v>
      </c>
      <c r="D178">
        <v>13000</v>
      </c>
    </row>
    <row r="179" spans="3:4" x14ac:dyDescent="0.35">
      <c r="C179" s="1">
        <v>2076</v>
      </c>
      <c r="D179">
        <v>13000</v>
      </c>
    </row>
    <row r="180" spans="3:4" x14ac:dyDescent="0.35">
      <c r="C180" s="1">
        <v>2077</v>
      </c>
      <c r="D180">
        <v>13000</v>
      </c>
    </row>
    <row r="181" spans="3:4" x14ac:dyDescent="0.35">
      <c r="C181" s="1">
        <v>2078</v>
      </c>
      <c r="D181">
        <v>13000</v>
      </c>
    </row>
    <row r="182" spans="3:4" x14ac:dyDescent="0.35">
      <c r="C182" s="1">
        <v>2079</v>
      </c>
      <c r="D182">
        <v>13000</v>
      </c>
    </row>
    <row r="183" spans="3:4" x14ac:dyDescent="0.35">
      <c r="C183" s="1">
        <v>2080</v>
      </c>
      <c r="D183">
        <v>13000</v>
      </c>
    </row>
    <row r="184" spans="3:4" x14ac:dyDescent="0.35">
      <c r="C184" s="1">
        <v>2081</v>
      </c>
      <c r="D184">
        <v>13000</v>
      </c>
    </row>
    <row r="185" spans="3:4" x14ac:dyDescent="0.35">
      <c r="C185" s="1">
        <v>2082</v>
      </c>
      <c r="D185">
        <v>13000</v>
      </c>
    </row>
    <row r="186" spans="3:4" x14ac:dyDescent="0.35">
      <c r="C186" s="1">
        <v>2083</v>
      </c>
      <c r="D186">
        <v>13000</v>
      </c>
    </row>
    <row r="187" spans="3:4" x14ac:dyDescent="0.35">
      <c r="C187" s="1">
        <v>2084</v>
      </c>
      <c r="D187">
        <v>13000</v>
      </c>
    </row>
    <row r="188" spans="3:4" x14ac:dyDescent="0.35">
      <c r="C188" s="1">
        <v>2085</v>
      </c>
      <c r="D188">
        <v>13000</v>
      </c>
    </row>
    <row r="189" spans="3:4" x14ac:dyDescent="0.35">
      <c r="C189" s="1">
        <v>2086</v>
      </c>
      <c r="D189">
        <v>13000</v>
      </c>
    </row>
    <row r="190" spans="3:4" x14ac:dyDescent="0.35">
      <c r="C190" s="1">
        <v>2087</v>
      </c>
      <c r="D190">
        <v>13000</v>
      </c>
    </row>
    <row r="191" spans="3:4" x14ac:dyDescent="0.35">
      <c r="C191" s="1">
        <v>2088</v>
      </c>
      <c r="D191">
        <v>13000</v>
      </c>
    </row>
    <row r="192" spans="3:4" x14ac:dyDescent="0.35">
      <c r="C192" s="1">
        <v>2089</v>
      </c>
      <c r="D192">
        <v>13000</v>
      </c>
    </row>
    <row r="193" spans="3:4" x14ac:dyDescent="0.35">
      <c r="C193" s="1">
        <v>2090</v>
      </c>
      <c r="D193">
        <v>13000</v>
      </c>
    </row>
    <row r="194" spans="3:4" x14ac:dyDescent="0.35">
      <c r="C194" s="1">
        <v>2091</v>
      </c>
      <c r="D194">
        <v>13000</v>
      </c>
    </row>
    <row r="195" spans="3:4" x14ac:dyDescent="0.35">
      <c r="C195" s="1">
        <v>2092</v>
      </c>
      <c r="D195">
        <v>13000</v>
      </c>
    </row>
    <row r="196" spans="3:4" x14ac:dyDescent="0.35">
      <c r="C196" s="1">
        <v>2093</v>
      </c>
      <c r="D196">
        <v>13000</v>
      </c>
    </row>
    <row r="197" spans="3:4" x14ac:dyDescent="0.35">
      <c r="C197" s="1">
        <v>2094</v>
      </c>
      <c r="D197">
        <v>13000</v>
      </c>
    </row>
    <row r="198" spans="3:4" x14ac:dyDescent="0.35">
      <c r="C198" s="1">
        <v>2095</v>
      </c>
      <c r="D198">
        <v>13000</v>
      </c>
    </row>
    <row r="199" spans="3:4" x14ac:dyDescent="0.35">
      <c r="C199" s="1">
        <v>2096</v>
      </c>
      <c r="D199">
        <v>13000</v>
      </c>
    </row>
    <row r="200" spans="3:4" x14ac:dyDescent="0.35">
      <c r="C200" s="1">
        <v>2097</v>
      </c>
      <c r="D200">
        <v>13000</v>
      </c>
    </row>
    <row r="201" spans="3:4" x14ac:dyDescent="0.35">
      <c r="C201" s="1">
        <v>2098</v>
      </c>
      <c r="D201">
        <v>13000</v>
      </c>
    </row>
    <row r="202" spans="3:4" x14ac:dyDescent="0.35">
      <c r="C202" s="1">
        <v>2099</v>
      </c>
      <c r="D202">
        <v>13000</v>
      </c>
    </row>
    <row r="203" spans="3:4" x14ac:dyDescent="0.35">
      <c r="C203" s="1">
        <v>2100</v>
      </c>
      <c r="D203">
        <v>13000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70CE-A599-420B-9BD7-E20CBAF8501B}">
  <dimension ref="B1:L103"/>
  <sheetViews>
    <sheetView tabSelected="1" workbookViewId="0">
      <selection activeCell="J3" sqref="J3:J78"/>
    </sheetView>
  </sheetViews>
  <sheetFormatPr defaultColWidth="10.90625" defaultRowHeight="14.5" x14ac:dyDescent="0.35"/>
  <cols>
    <col min="3" max="3" width="21.81640625" customWidth="1"/>
    <col min="4" max="4" width="17.1796875" customWidth="1"/>
  </cols>
  <sheetData>
    <row r="1" spans="2:12" x14ac:dyDescent="0.35">
      <c r="B1" s="1" t="s">
        <v>0</v>
      </c>
      <c r="D1" s="2" t="s">
        <v>6</v>
      </c>
      <c r="J1" s="2" t="s">
        <v>7</v>
      </c>
    </row>
    <row r="2" spans="2:12" x14ac:dyDescent="0.35">
      <c r="B2" s="1"/>
      <c r="D2" s="3"/>
      <c r="I2" s="1">
        <v>2024</v>
      </c>
      <c r="J2">
        <v>5226.1918033299999</v>
      </c>
      <c r="K2" t="s">
        <v>8</v>
      </c>
      <c r="L2" t="s">
        <v>9</v>
      </c>
    </row>
    <row r="3" spans="2:12" x14ac:dyDescent="0.35">
      <c r="B3" s="1" t="s">
        <v>5</v>
      </c>
      <c r="C3" s="1">
        <v>2000</v>
      </c>
      <c r="D3">
        <v>0</v>
      </c>
      <c r="I3" s="1">
        <v>2025</v>
      </c>
      <c r="J3">
        <f>J2+K3</f>
        <v>5609.5043013300001</v>
      </c>
      <c r="K3">
        <v>383.31249800000001</v>
      </c>
    </row>
    <row r="4" spans="2:12" x14ac:dyDescent="0.35">
      <c r="C4" s="1">
        <v>2001</v>
      </c>
      <c r="D4">
        <v>0</v>
      </c>
      <c r="I4" s="1">
        <v>2026</v>
      </c>
      <c r="J4">
        <f t="shared" ref="J4:J67" si="0">J3+K4</f>
        <v>6052.2844053299996</v>
      </c>
      <c r="K4">
        <v>442.78010399999994</v>
      </c>
    </row>
    <row r="5" spans="2:12" x14ac:dyDescent="0.35">
      <c r="C5" s="1">
        <v>2002</v>
      </c>
      <c r="D5">
        <v>0</v>
      </c>
      <c r="I5" s="1">
        <v>2027</v>
      </c>
      <c r="J5">
        <f t="shared" si="0"/>
        <v>6565.45175733</v>
      </c>
      <c r="K5">
        <v>513.16735199999994</v>
      </c>
    </row>
    <row r="6" spans="2:12" x14ac:dyDescent="0.35">
      <c r="C6" s="1">
        <v>2003</v>
      </c>
      <c r="D6">
        <v>0</v>
      </c>
      <c r="I6" s="1">
        <v>2028</v>
      </c>
      <c r="J6">
        <f t="shared" si="0"/>
        <v>7238.5942263300003</v>
      </c>
      <c r="K6">
        <v>673.14246899999989</v>
      </c>
    </row>
    <row r="7" spans="2:12" x14ac:dyDescent="0.35">
      <c r="C7" s="1">
        <v>2004</v>
      </c>
      <c r="D7">
        <v>0</v>
      </c>
      <c r="I7" s="1">
        <v>2029</v>
      </c>
      <c r="J7">
        <f t="shared" si="0"/>
        <v>8115.6995483299997</v>
      </c>
      <c r="K7">
        <v>877.10532199999989</v>
      </c>
    </row>
    <row r="8" spans="2:12" x14ac:dyDescent="0.35">
      <c r="C8" s="1">
        <v>2005</v>
      </c>
      <c r="D8">
        <v>0</v>
      </c>
      <c r="I8" s="1">
        <v>2030</v>
      </c>
      <c r="J8">
        <f t="shared" si="0"/>
        <v>9206.2832273299991</v>
      </c>
      <c r="K8">
        <v>1090.5836789999998</v>
      </c>
    </row>
    <row r="9" spans="2:12" x14ac:dyDescent="0.35">
      <c r="C9" s="1">
        <v>2006</v>
      </c>
      <c r="D9">
        <v>0</v>
      </c>
      <c r="I9" s="1">
        <v>2031</v>
      </c>
      <c r="J9">
        <f t="shared" si="0"/>
        <v>9809.9358943299994</v>
      </c>
      <c r="K9">
        <v>603.65266699999938</v>
      </c>
    </row>
    <row r="10" spans="2:12" x14ac:dyDescent="0.35">
      <c r="C10" s="1">
        <v>2007</v>
      </c>
      <c r="D10">
        <v>0</v>
      </c>
      <c r="I10" s="1">
        <v>2032</v>
      </c>
      <c r="J10">
        <f t="shared" si="0"/>
        <v>10499.766994329999</v>
      </c>
      <c r="K10">
        <v>689.83110000000033</v>
      </c>
    </row>
    <row r="11" spans="2:12" x14ac:dyDescent="0.35">
      <c r="C11" s="1">
        <v>2008</v>
      </c>
      <c r="D11">
        <v>0</v>
      </c>
      <c r="I11" s="1">
        <v>2033</v>
      </c>
      <c r="J11">
        <f t="shared" si="0"/>
        <v>11231.041635329999</v>
      </c>
      <c r="K11">
        <v>731.27464099999997</v>
      </c>
    </row>
    <row r="12" spans="2:12" x14ac:dyDescent="0.35">
      <c r="C12" s="1">
        <v>2009</v>
      </c>
      <c r="D12">
        <v>0</v>
      </c>
      <c r="I12" s="1">
        <v>2034</v>
      </c>
      <c r="J12">
        <f t="shared" si="0"/>
        <v>12038.474660329997</v>
      </c>
      <c r="K12">
        <v>807.43302499999936</v>
      </c>
    </row>
    <row r="13" spans="2:12" x14ac:dyDescent="0.35">
      <c r="C13" s="1">
        <v>2010</v>
      </c>
      <c r="D13">
        <v>20</v>
      </c>
      <c r="I13" s="1">
        <v>2035</v>
      </c>
      <c r="J13">
        <f t="shared" si="0"/>
        <v>12936.030157329998</v>
      </c>
      <c r="K13">
        <v>897.55549700000029</v>
      </c>
    </row>
    <row r="14" spans="2:12" x14ac:dyDescent="0.35">
      <c r="C14" s="1">
        <v>2011</v>
      </c>
      <c r="D14">
        <v>35</v>
      </c>
      <c r="I14" s="1">
        <v>2036</v>
      </c>
      <c r="J14">
        <f t="shared" si="0"/>
        <v>13290.06381333</v>
      </c>
      <c r="K14">
        <v>354.03365600000143</v>
      </c>
    </row>
    <row r="15" spans="2:12" x14ac:dyDescent="0.35">
      <c r="C15" s="1">
        <v>2012</v>
      </c>
      <c r="D15">
        <v>80</v>
      </c>
      <c r="I15" s="1">
        <v>2037</v>
      </c>
      <c r="J15">
        <f t="shared" si="0"/>
        <v>13590.06381333</v>
      </c>
      <c r="K15">
        <v>300</v>
      </c>
    </row>
    <row r="16" spans="2:12" x14ac:dyDescent="0.35">
      <c r="C16" s="1">
        <v>2013</v>
      </c>
      <c r="D16">
        <v>150</v>
      </c>
      <c r="I16" s="1">
        <v>2038</v>
      </c>
      <c r="J16">
        <f t="shared" si="0"/>
        <v>13790.06381333</v>
      </c>
      <c r="K16">
        <v>200</v>
      </c>
    </row>
    <row r="17" spans="3:11" x14ac:dyDescent="0.35">
      <c r="C17" s="1">
        <v>2014</v>
      </c>
      <c r="D17">
        <v>257.01736999999997</v>
      </c>
      <c r="I17" s="1">
        <v>2039</v>
      </c>
      <c r="J17">
        <f t="shared" si="0"/>
        <v>14090.06381333</v>
      </c>
      <c r="K17">
        <v>300</v>
      </c>
    </row>
    <row r="18" spans="3:11" x14ac:dyDescent="0.35">
      <c r="C18" s="1">
        <v>2015</v>
      </c>
      <c r="D18">
        <v>280</v>
      </c>
      <c r="I18" s="1">
        <v>2040</v>
      </c>
      <c r="J18">
        <f t="shared" si="0"/>
        <v>16090.06381333</v>
      </c>
      <c r="K18">
        <v>2000</v>
      </c>
    </row>
    <row r="19" spans="3:11" x14ac:dyDescent="0.35">
      <c r="C19" s="1">
        <v>2016</v>
      </c>
      <c r="D19">
        <v>309.16799999999995</v>
      </c>
      <c r="I19" s="1">
        <v>2041</v>
      </c>
      <c r="J19">
        <f t="shared" si="0"/>
        <v>17090.063813330002</v>
      </c>
      <c r="K19">
        <v>1000</v>
      </c>
    </row>
    <row r="20" spans="3:11" x14ac:dyDescent="0.35">
      <c r="C20" s="1">
        <v>2017</v>
      </c>
      <c r="D20">
        <v>350</v>
      </c>
      <c r="I20" s="1">
        <v>2042</v>
      </c>
      <c r="J20">
        <f t="shared" si="0"/>
        <v>17090.063813330002</v>
      </c>
      <c r="K20">
        <v>0</v>
      </c>
    </row>
    <row r="21" spans="3:11" x14ac:dyDescent="0.35">
      <c r="C21" s="1">
        <v>2018</v>
      </c>
      <c r="D21">
        <v>400</v>
      </c>
      <c r="I21" s="1">
        <v>2043</v>
      </c>
      <c r="J21">
        <f t="shared" si="0"/>
        <v>17090.063813330002</v>
      </c>
      <c r="K21">
        <v>0</v>
      </c>
    </row>
    <row r="22" spans="3:11" x14ac:dyDescent="0.35">
      <c r="C22" s="1">
        <v>2019</v>
      </c>
      <c r="D22">
        <v>490</v>
      </c>
      <c r="I22" s="1">
        <v>2044</v>
      </c>
      <c r="J22">
        <f t="shared" si="0"/>
        <v>17090.063813330002</v>
      </c>
      <c r="K22">
        <v>0</v>
      </c>
    </row>
    <row r="23" spans="3:11" x14ac:dyDescent="0.35">
      <c r="C23" s="1">
        <v>2020</v>
      </c>
      <c r="D23">
        <v>530</v>
      </c>
      <c r="I23" s="1">
        <v>2045</v>
      </c>
      <c r="J23">
        <f t="shared" si="0"/>
        <v>17090.063813330002</v>
      </c>
      <c r="K23">
        <v>0</v>
      </c>
    </row>
    <row r="24" spans="3:11" x14ac:dyDescent="0.35">
      <c r="C24" s="1">
        <v>2021</v>
      </c>
      <c r="D24">
        <v>720</v>
      </c>
      <c r="I24" s="1">
        <v>2046</v>
      </c>
      <c r="J24">
        <f t="shared" si="0"/>
        <v>17090.063813330002</v>
      </c>
      <c r="K24">
        <v>0</v>
      </c>
    </row>
    <row r="25" spans="3:11" x14ac:dyDescent="0.35">
      <c r="C25" s="1">
        <v>2022</v>
      </c>
      <c r="D25">
        <v>800</v>
      </c>
      <c r="I25" s="1">
        <v>2047</v>
      </c>
      <c r="J25">
        <f t="shared" si="0"/>
        <v>17090.063813330002</v>
      </c>
      <c r="K25">
        <v>0</v>
      </c>
    </row>
    <row r="26" spans="3:11" x14ac:dyDescent="0.35">
      <c r="C26" s="1">
        <v>2023</v>
      </c>
      <c r="D26">
        <v>928.57749999999987</v>
      </c>
      <c r="I26" s="1">
        <v>2048</v>
      </c>
      <c r="J26">
        <f t="shared" si="0"/>
        <v>17090.063813330002</v>
      </c>
      <c r="K26">
        <v>0</v>
      </c>
    </row>
    <row r="27" spans="3:11" x14ac:dyDescent="0.35">
      <c r="C27" s="1">
        <v>2024</v>
      </c>
      <c r="D27">
        <v>1136.1279899999997</v>
      </c>
      <c r="I27" s="1">
        <v>2049</v>
      </c>
      <c r="J27">
        <f t="shared" si="0"/>
        <v>17090.063813330002</v>
      </c>
      <c r="K27">
        <v>0</v>
      </c>
    </row>
    <row r="28" spans="3:11" x14ac:dyDescent="0.35">
      <c r="C28" s="1"/>
      <c r="I28" s="1">
        <v>2050</v>
      </c>
      <c r="J28">
        <f t="shared" si="0"/>
        <v>17090.063813330002</v>
      </c>
      <c r="K28">
        <v>0</v>
      </c>
    </row>
    <row r="29" spans="3:11" x14ac:dyDescent="0.35">
      <c r="C29" s="1"/>
      <c r="I29" s="1">
        <v>2051</v>
      </c>
      <c r="J29">
        <f t="shared" si="0"/>
        <v>17090.063813330002</v>
      </c>
      <c r="K29">
        <v>0</v>
      </c>
    </row>
    <row r="30" spans="3:11" x14ac:dyDescent="0.35">
      <c r="C30" s="1"/>
      <c r="I30" s="1">
        <v>2052</v>
      </c>
      <c r="J30">
        <f t="shared" si="0"/>
        <v>17090.063813330002</v>
      </c>
      <c r="K30">
        <v>0</v>
      </c>
    </row>
    <row r="31" spans="3:11" x14ac:dyDescent="0.35">
      <c r="C31" s="1"/>
      <c r="I31" s="1">
        <v>2053</v>
      </c>
      <c r="J31">
        <f t="shared" si="0"/>
        <v>17090.063813330002</v>
      </c>
      <c r="K31">
        <v>0</v>
      </c>
    </row>
    <row r="32" spans="3:11" x14ac:dyDescent="0.35">
      <c r="C32" s="1"/>
      <c r="I32" s="1">
        <v>2054</v>
      </c>
      <c r="J32">
        <f t="shared" si="0"/>
        <v>17090.063813330002</v>
      </c>
      <c r="K32">
        <v>0</v>
      </c>
    </row>
    <row r="33" spans="3:11" x14ac:dyDescent="0.35">
      <c r="C33" s="1"/>
      <c r="I33" s="1">
        <v>2055</v>
      </c>
      <c r="J33">
        <f t="shared" si="0"/>
        <v>17090.063813330002</v>
      </c>
      <c r="K33">
        <v>0</v>
      </c>
    </row>
    <row r="34" spans="3:11" x14ac:dyDescent="0.35">
      <c r="C34" s="1"/>
      <c r="I34" s="1">
        <v>2056</v>
      </c>
      <c r="J34">
        <f t="shared" si="0"/>
        <v>17090.063813330002</v>
      </c>
      <c r="K34">
        <v>0</v>
      </c>
    </row>
    <row r="35" spans="3:11" x14ac:dyDescent="0.35">
      <c r="C35" s="1"/>
      <c r="I35" s="1">
        <v>2057</v>
      </c>
      <c r="J35">
        <f t="shared" si="0"/>
        <v>17090.063813330002</v>
      </c>
      <c r="K35">
        <v>0</v>
      </c>
    </row>
    <row r="36" spans="3:11" x14ac:dyDescent="0.35">
      <c r="C36" s="1"/>
      <c r="I36" s="1">
        <v>2058</v>
      </c>
      <c r="J36">
        <f t="shared" si="0"/>
        <v>17090.063813330002</v>
      </c>
      <c r="K36">
        <v>0</v>
      </c>
    </row>
    <row r="37" spans="3:11" x14ac:dyDescent="0.35">
      <c r="C37" s="1"/>
      <c r="I37" s="1">
        <v>2059</v>
      </c>
      <c r="J37">
        <f t="shared" si="0"/>
        <v>17090.063813330002</v>
      </c>
      <c r="K37">
        <v>0</v>
      </c>
    </row>
    <row r="38" spans="3:11" x14ac:dyDescent="0.35">
      <c r="C38" s="1"/>
      <c r="I38" s="1">
        <v>2060</v>
      </c>
      <c r="J38">
        <f t="shared" si="0"/>
        <v>17090.063813330002</v>
      </c>
      <c r="K38">
        <v>0</v>
      </c>
    </row>
    <row r="39" spans="3:11" x14ac:dyDescent="0.35">
      <c r="C39" s="1"/>
      <c r="I39" s="1">
        <v>2061</v>
      </c>
      <c r="J39">
        <f t="shared" si="0"/>
        <v>17090.063813330002</v>
      </c>
      <c r="K39">
        <v>0</v>
      </c>
    </row>
    <row r="40" spans="3:11" x14ac:dyDescent="0.35">
      <c r="C40" s="1"/>
      <c r="I40" s="1">
        <v>2062</v>
      </c>
      <c r="J40">
        <f t="shared" si="0"/>
        <v>17090.063813330002</v>
      </c>
      <c r="K40">
        <v>0</v>
      </c>
    </row>
    <row r="41" spans="3:11" x14ac:dyDescent="0.35">
      <c r="C41" s="1"/>
      <c r="I41" s="1">
        <v>2063</v>
      </c>
      <c r="J41">
        <f t="shared" si="0"/>
        <v>17090.063813330002</v>
      </c>
      <c r="K41">
        <v>0</v>
      </c>
    </row>
    <row r="42" spans="3:11" x14ac:dyDescent="0.35">
      <c r="C42" s="1"/>
      <c r="I42" s="1">
        <v>2064</v>
      </c>
      <c r="J42">
        <f t="shared" si="0"/>
        <v>17090.063813330002</v>
      </c>
      <c r="K42">
        <v>0</v>
      </c>
    </row>
    <row r="43" spans="3:11" x14ac:dyDescent="0.35">
      <c r="C43" s="1"/>
      <c r="I43" s="1">
        <v>2065</v>
      </c>
      <c r="J43">
        <f t="shared" si="0"/>
        <v>17090.063813330002</v>
      </c>
      <c r="K43">
        <v>0</v>
      </c>
    </row>
    <row r="44" spans="3:11" x14ac:dyDescent="0.35">
      <c r="C44" s="1"/>
      <c r="I44" s="1">
        <v>2066</v>
      </c>
      <c r="J44">
        <f t="shared" si="0"/>
        <v>17090.063813330002</v>
      </c>
      <c r="K44">
        <v>0</v>
      </c>
    </row>
    <row r="45" spans="3:11" x14ac:dyDescent="0.35">
      <c r="C45" s="1"/>
      <c r="I45" s="1">
        <v>2067</v>
      </c>
      <c r="J45">
        <f t="shared" si="0"/>
        <v>17090.063813330002</v>
      </c>
      <c r="K45">
        <v>0</v>
      </c>
    </row>
    <row r="46" spans="3:11" x14ac:dyDescent="0.35">
      <c r="C46" s="1"/>
      <c r="I46" s="1">
        <v>2068</v>
      </c>
      <c r="J46">
        <f t="shared" si="0"/>
        <v>17090.063813330002</v>
      </c>
      <c r="K46">
        <v>0</v>
      </c>
    </row>
    <row r="47" spans="3:11" x14ac:dyDescent="0.35">
      <c r="C47" s="1"/>
      <c r="I47" s="1">
        <v>2069</v>
      </c>
      <c r="J47">
        <f t="shared" si="0"/>
        <v>17090.063813330002</v>
      </c>
      <c r="K47">
        <v>0</v>
      </c>
    </row>
    <row r="48" spans="3:11" x14ac:dyDescent="0.35">
      <c r="C48" s="1"/>
      <c r="I48" s="1">
        <v>2070</v>
      </c>
      <c r="J48">
        <f t="shared" si="0"/>
        <v>17090.063813330002</v>
      </c>
      <c r="K48">
        <v>0</v>
      </c>
    </row>
    <row r="49" spans="3:11" x14ac:dyDescent="0.35">
      <c r="C49" s="1"/>
      <c r="I49" s="1">
        <v>2071</v>
      </c>
      <c r="J49">
        <f t="shared" si="0"/>
        <v>17090.063813330002</v>
      </c>
      <c r="K49">
        <v>0</v>
      </c>
    </row>
    <row r="50" spans="3:11" x14ac:dyDescent="0.35">
      <c r="C50" s="1"/>
      <c r="I50" s="1">
        <v>2072</v>
      </c>
      <c r="J50">
        <f t="shared" si="0"/>
        <v>17090.063813330002</v>
      </c>
      <c r="K50">
        <v>0</v>
      </c>
    </row>
    <row r="51" spans="3:11" x14ac:dyDescent="0.35">
      <c r="C51" s="1"/>
      <c r="I51" s="1">
        <v>2073</v>
      </c>
      <c r="J51">
        <f t="shared" si="0"/>
        <v>17090.063813330002</v>
      </c>
      <c r="K51">
        <v>0</v>
      </c>
    </row>
    <row r="52" spans="3:11" x14ac:dyDescent="0.35">
      <c r="C52" s="1"/>
      <c r="I52" s="1">
        <v>2074</v>
      </c>
      <c r="J52">
        <f t="shared" si="0"/>
        <v>17090.063813330002</v>
      </c>
      <c r="K52">
        <v>0</v>
      </c>
    </row>
    <row r="53" spans="3:11" x14ac:dyDescent="0.35">
      <c r="C53" s="1"/>
      <c r="I53" s="1">
        <v>2075</v>
      </c>
      <c r="J53">
        <f t="shared" si="0"/>
        <v>17090.063813330002</v>
      </c>
      <c r="K53">
        <v>0</v>
      </c>
    </row>
    <row r="54" spans="3:11" x14ac:dyDescent="0.35">
      <c r="C54" s="1"/>
      <c r="I54" s="1">
        <v>2076</v>
      </c>
      <c r="J54">
        <f t="shared" si="0"/>
        <v>17090.063813330002</v>
      </c>
      <c r="K54">
        <v>0</v>
      </c>
    </row>
    <row r="55" spans="3:11" x14ac:dyDescent="0.35">
      <c r="C55" s="1"/>
      <c r="I55" s="1">
        <v>2077</v>
      </c>
      <c r="J55">
        <f t="shared" si="0"/>
        <v>17090.063813330002</v>
      </c>
      <c r="K55">
        <v>0</v>
      </c>
    </row>
    <row r="56" spans="3:11" x14ac:dyDescent="0.35">
      <c r="C56" s="1"/>
      <c r="I56" s="1">
        <v>2078</v>
      </c>
      <c r="J56">
        <f t="shared" si="0"/>
        <v>17090.063813330002</v>
      </c>
      <c r="K56">
        <v>0</v>
      </c>
    </row>
    <row r="57" spans="3:11" x14ac:dyDescent="0.35">
      <c r="C57" s="1"/>
      <c r="I57" s="1">
        <v>2079</v>
      </c>
      <c r="J57">
        <f t="shared" si="0"/>
        <v>17090.063813330002</v>
      </c>
      <c r="K57">
        <v>0</v>
      </c>
    </row>
    <row r="58" spans="3:11" x14ac:dyDescent="0.35">
      <c r="C58" s="1"/>
      <c r="I58" s="1">
        <v>2080</v>
      </c>
      <c r="J58">
        <f t="shared" si="0"/>
        <v>17090.063813330002</v>
      </c>
      <c r="K58">
        <v>0</v>
      </c>
    </row>
    <row r="59" spans="3:11" x14ac:dyDescent="0.35">
      <c r="C59" s="1"/>
      <c r="I59" s="1">
        <v>2081</v>
      </c>
      <c r="J59">
        <f t="shared" si="0"/>
        <v>17090.063813330002</v>
      </c>
      <c r="K59">
        <v>0</v>
      </c>
    </row>
    <row r="60" spans="3:11" x14ac:dyDescent="0.35">
      <c r="C60" s="1"/>
      <c r="I60" s="1">
        <v>2082</v>
      </c>
      <c r="J60">
        <f t="shared" si="0"/>
        <v>17090.063813330002</v>
      </c>
      <c r="K60">
        <v>0</v>
      </c>
    </row>
    <row r="61" spans="3:11" x14ac:dyDescent="0.35">
      <c r="C61" s="1"/>
      <c r="I61" s="1">
        <v>2083</v>
      </c>
      <c r="J61">
        <f t="shared" si="0"/>
        <v>17090.063813330002</v>
      </c>
      <c r="K61">
        <v>0</v>
      </c>
    </row>
    <row r="62" spans="3:11" x14ac:dyDescent="0.35">
      <c r="C62" s="1"/>
      <c r="I62" s="1">
        <v>2084</v>
      </c>
      <c r="J62">
        <f t="shared" si="0"/>
        <v>17090.063813330002</v>
      </c>
      <c r="K62">
        <v>0</v>
      </c>
    </row>
    <row r="63" spans="3:11" x14ac:dyDescent="0.35">
      <c r="C63" s="1"/>
      <c r="I63" s="1">
        <v>2085</v>
      </c>
      <c r="J63">
        <f t="shared" si="0"/>
        <v>17090.063813330002</v>
      </c>
      <c r="K63">
        <v>0</v>
      </c>
    </row>
    <row r="64" spans="3:11" x14ac:dyDescent="0.35">
      <c r="C64" s="1"/>
      <c r="I64" s="1">
        <v>2086</v>
      </c>
      <c r="J64">
        <f t="shared" si="0"/>
        <v>17090.063813330002</v>
      </c>
      <c r="K64">
        <v>0</v>
      </c>
    </row>
    <row r="65" spans="3:11" x14ac:dyDescent="0.35">
      <c r="C65" s="1"/>
      <c r="I65" s="1">
        <v>2087</v>
      </c>
      <c r="J65">
        <f t="shared" si="0"/>
        <v>17090.063813330002</v>
      </c>
      <c r="K65">
        <v>0</v>
      </c>
    </row>
    <row r="66" spans="3:11" x14ac:dyDescent="0.35">
      <c r="C66" s="1"/>
      <c r="I66" s="1">
        <v>2088</v>
      </c>
      <c r="J66">
        <f t="shared" si="0"/>
        <v>17090.063813330002</v>
      </c>
      <c r="K66">
        <v>0</v>
      </c>
    </row>
    <row r="67" spans="3:11" x14ac:dyDescent="0.35">
      <c r="C67" s="1"/>
      <c r="I67" s="1">
        <v>2089</v>
      </c>
      <c r="J67">
        <f t="shared" si="0"/>
        <v>17090.063813330002</v>
      </c>
      <c r="K67">
        <v>0</v>
      </c>
    </row>
    <row r="68" spans="3:11" x14ac:dyDescent="0.35">
      <c r="C68" s="1"/>
      <c r="I68" s="1">
        <v>2090</v>
      </c>
      <c r="J68">
        <f t="shared" ref="J68:J78" si="1">J67+K68</f>
        <v>17090.063813330002</v>
      </c>
      <c r="K68">
        <v>0</v>
      </c>
    </row>
    <row r="69" spans="3:11" x14ac:dyDescent="0.35">
      <c r="C69" s="1"/>
      <c r="I69" s="1">
        <v>2091</v>
      </c>
      <c r="J69">
        <f t="shared" si="1"/>
        <v>17090.063813330002</v>
      </c>
      <c r="K69">
        <v>0</v>
      </c>
    </row>
    <row r="70" spans="3:11" x14ac:dyDescent="0.35">
      <c r="C70" s="1"/>
      <c r="I70" s="1">
        <v>2092</v>
      </c>
      <c r="J70">
        <f t="shared" si="1"/>
        <v>17090.063813330002</v>
      </c>
      <c r="K70">
        <v>0</v>
      </c>
    </row>
    <row r="71" spans="3:11" x14ac:dyDescent="0.35">
      <c r="C71" s="1"/>
      <c r="I71" s="1">
        <v>2093</v>
      </c>
      <c r="J71">
        <f t="shared" si="1"/>
        <v>17090.063813330002</v>
      </c>
      <c r="K71">
        <v>0</v>
      </c>
    </row>
    <row r="72" spans="3:11" x14ac:dyDescent="0.35">
      <c r="C72" s="1"/>
      <c r="I72" s="1">
        <v>2094</v>
      </c>
      <c r="J72">
        <f t="shared" si="1"/>
        <v>17090.063813330002</v>
      </c>
      <c r="K72">
        <v>0</v>
      </c>
    </row>
    <row r="73" spans="3:11" x14ac:dyDescent="0.35">
      <c r="C73" s="1"/>
      <c r="I73" s="1">
        <v>2095</v>
      </c>
      <c r="J73">
        <f t="shared" si="1"/>
        <v>17090.063813330002</v>
      </c>
      <c r="K73">
        <v>0</v>
      </c>
    </row>
    <row r="74" spans="3:11" x14ac:dyDescent="0.35">
      <c r="C74" s="1"/>
      <c r="I74" s="1">
        <v>2096</v>
      </c>
      <c r="J74">
        <f t="shared" si="1"/>
        <v>17090.063813330002</v>
      </c>
      <c r="K74">
        <v>0</v>
      </c>
    </row>
    <row r="75" spans="3:11" x14ac:dyDescent="0.35">
      <c r="C75" s="1"/>
      <c r="I75" s="1">
        <v>2097</v>
      </c>
      <c r="J75">
        <f t="shared" si="1"/>
        <v>17090.063813330002</v>
      </c>
      <c r="K75">
        <v>0</v>
      </c>
    </row>
    <row r="76" spans="3:11" x14ac:dyDescent="0.35">
      <c r="C76" s="1"/>
      <c r="I76" s="1">
        <v>2098</v>
      </c>
      <c r="J76">
        <f t="shared" si="1"/>
        <v>17090.063813330002</v>
      </c>
      <c r="K76">
        <v>0</v>
      </c>
    </row>
    <row r="77" spans="3:11" x14ac:dyDescent="0.35">
      <c r="C77" s="1"/>
      <c r="I77" s="1">
        <v>2099</v>
      </c>
      <c r="J77">
        <f t="shared" si="1"/>
        <v>17090.063813330002</v>
      </c>
      <c r="K77">
        <v>0</v>
      </c>
    </row>
    <row r="78" spans="3:11" x14ac:dyDescent="0.35">
      <c r="C78" s="1"/>
      <c r="I78" s="1">
        <v>2100</v>
      </c>
      <c r="J78">
        <f t="shared" si="1"/>
        <v>17090.063813330002</v>
      </c>
      <c r="K78">
        <v>0</v>
      </c>
    </row>
    <row r="79" spans="3:11" x14ac:dyDescent="0.35">
      <c r="C79" s="1"/>
    </row>
    <row r="80" spans="3:11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Data_Batteries_US</vt:lpstr>
      <vt:lpstr>Data_Batteries_US (2)</vt:lpstr>
      <vt:lpstr>Data_Batteries_US (3)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Pauliuk</dc:creator>
  <cp:lastModifiedBy>Elizabeth Lanphear</cp:lastModifiedBy>
  <dcterms:created xsi:type="dcterms:W3CDTF">2018-01-08T18:46:52Z</dcterms:created>
  <dcterms:modified xsi:type="dcterms:W3CDTF">2025-05-08T16:12:57Z</dcterms:modified>
</cp:coreProperties>
</file>